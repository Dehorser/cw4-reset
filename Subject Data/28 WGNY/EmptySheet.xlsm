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28 WGNY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E39" i="3" l="1"/>
  <c r="C4" i="3"/>
  <c r="C13" i="3"/>
  <c r="J18" i="3"/>
  <c r="D4" i="3"/>
  <c r="C12" i="3"/>
  <c r="D13" i="3"/>
  <c r="C39" i="3"/>
  <c r="D36" i="3"/>
  <c r="L40" i="3"/>
  <c r="D3" i="3"/>
  <c r="L7" i="3"/>
  <c r="L9" i="3"/>
  <c r="E12" i="3"/>
  <c r="N12" i="3" s="1"/>
  <c r="C22" i="3"/>
  <c r="C28" i="3"/>
  <c r="J29" i="3"/>
  <c r="J5" i="3"/>
  <c r="M5" i="3" s="1"/>
  <c r="E22" i="3"/>
  <c r="L25" i="3"/>
  <c r="M25" i="3" s="1"/>
  <c r="E28" i="3"/>
  <c r="K29" i="3"/>
  <c r="D35" i="3"/>
  <c r="C36" i="3"/>
  <c r="S36" i="3" s="1"/>
  <c r="L3" i="3"/>
  <c r="K17" i="3"/>
  <c r="C40" i="3"/>
  <c r="N40" i="3" s="1"/>
  <c r="J4" i="3"/>
  <c r="C9" i="3"/>
  <c r="N9" i="3" s="1"/>
  <c r="L4" i="3"/>
  <c r="D8" i="3"/>
  <c r="D9" i="3"/>
  <c r="S13" i="3"/>
  <c r="J13" i="3"/>
  <c r="J14" i="3"/>
  <c r="E15" i="3"/>
  <c r="L16" i="3"/>
  <c r="L20" i="3"/>
  <c r="J25" i="3"/>
  <c r="C32" i="3"/>
  <c r="N32" i="3" s="1"/>
  <c r="E33" i="3"/>
  <c r="J36" i="3"/>
  <c r="J40" i="3"/>
  <c r="D16" i="3"/>
  <c r="K21" i="3"/>
  <c r="J27" i="3"/>
  <c r="J7" i="3"/>
  <c r="J9" i="3"/>
  <c r="O9" i="3" s="1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O17" i="3" s="1"/>
  <c r="L17" i="3"/>
  <c r="M17" i="3" s="1"/>
  <c r="C20" i="3"/>
  <c r="S20" i="3" s="1"/>
  <c r="L21" i="3"/>
  <c r="J23" i="3"/>
  <c r="M23" i="3" s="1"/>
  <c r="C24" i="3"/>
  <c r="S24" i="3" s="1"/>
  <c r="C26" i="3"/>
  <c r="D27" i="3"/>
  <c r="N28" i="3"/>
  <c r="K28" i="3"/>
  <c r="C30" i="3"/>
  <c r="D31" i="3"/>
  <c r="S32" i="3"/>
  <c r="K32" i="3"/>
  <c r="J33" i="3"/>
  <c r="D40" i="3"/>
  <c r="J41" i="3"/>
  <c r="M41" i="3" s="1"/>
  <c r="S4" i="3"/>
  <c r="N3" i="3"/>
  <c r="K6" i="3"/>
  <c r="S12" i="3"/>
  <c r="N13" i="3"/>
  <c r="N16" i="3"/>
  <c r="D17" i="3"/>
  <c r="D20" i="3"/>
  <c r="L23" i="3"/>
  <c r="D24" i="3"/>
  <c r="E26" i="3"/>
  <c r="S28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C10" i="3"/>
  <c r="E10" i="3"/>
  <c r="D10" i="3"/>
  <c r="W13" i="3"/>
  <c r="S16" i="3"/>
  <c r="V18" i="3"/>
  <c r="Y18" i="3" s="1"/>
  <c r="S22" i="3"/>
  <c r="L2" i="3"/>
  <c r="M2" i="3" s="1"/>
  <c r="E5" i="3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M14" i="3"/>
  <c r="J15" i="3"/>
  <c r="L15" i="3"/>
  <c r="K15" i="3"/>
  <c r="C18" i="3"/>
  <c r="S18" i="3" s="1"/>
  <c r="E18" i="3"/>
  <c r="D18" i="3"/>
  <c r="M21" i="3"/>
  <c r="W22" i="3"/>
  <c r="V7" i="3"/>
  <c r="L8" i="3"/>
  <c r="W9" i="3"/>
  <c r="V14" i="3"/>
  <c r="Y14" i="3" s="1"/>
  <c r="M18" i="3"/>
  <c r="J19" i="3"/>
  <c r="L19" i="3"/>
  <c r="K19" i="3"/>
  <c r="L22" i="3"/>
  <c r="J22" i="3"/>
  <c r="K22" i="3"/>
  <c r="C11" i="3"/>
  <c r="J12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D34" i="3"/>
  <c r="C34" i="3"/>
  <c r="N34" i="3" s="1"/>
  <c r="S35" i="3"/>
  <c r="E37" i="3"/>
  <c r="D37" i="3"/>
  <c r="D38" i="3"/>
  <c r="C38" i="3"/>
  <c r="N38" i="3" s="1"/>
  <c r="S39" i="3"/>
  <c r="E41" i="3"/>
  <c r="D41" i="3"/>
  <c r="L34" i="3"/>
  <c r="K34" i="3"/>
  <c r="L38" i="3"/>
  <c r="K38" i="3"/>
  <c r="M33" i="3"/>
  <c r="J34" i="3"/>
  <c r="K35" i="3"/>
  <c r="J35" i="3"/>
  <c r="N36" i="3"/>
  <c r="J38" i="3"/>
  <c r="K39" i="3"/>
  <c r="J39" i="3"/>
  <c r="M40" i="3"/>
  <c r="M9" i="3" l="1"/>
  <c r="S9" i="3"/>
  <c r="N30" i="3"/>
  <c r="R36" i="3"/>
  <c r="T36" i="3" s="1"/>
  <c r="M13" i="3"/>
  <c r="M4" i="3"/>
  <c r="M36" i="3"/>
  <c r="N20" i="3"/>
  <c r="O13" i="3"/>
  <c r="P13" i="3" s="1"/>
  <c r="Q13" i="3" s="1"/>
  <c r="R4" i="3"/>
  <c r="T4" i="3" s="1"/>
  <c r="O5" i="3"/>
  <c r="S34" i="3"/>
  <c r="O37" i="3"/>
  <c r="O33" i="3"/>
  <c r="S25" i="3"/>
  <c r="O10" i="3"/>
  <c r="M27" i="3"/>
  <c r="M7" i="3"/>
  <c r="R40" i="3"/>
  <c r="T40" i="3" s="1"/>
  <c r="O40" i="3"/>
  <c r="P40" i="3" s="1"/>
  <c r="Q40" i="3" s="1"/>
  <c r="O27" i="3"/>
  <c r="N11" i="3"/>
  <c r="N17" i="3"/>
  <c r="O36" i="3"/>
  <c r="P36" i="3" s="1"/>
  <c r="Q36" i="3" s="1"/>
  <c r="R13" i="3"/>
  <c r="T13" i="3" s="1"/>
  <c r="O4" i="3"/>
  <c r="P4" i="3" s="1"/>
  <c r="Q4" i="3" s="1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P17" i="3"/>
  <c r="Q17" i="3" s="1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O39" i="3"/>
  <c r="P39" i="3" s="1"/>
  <c r="Q39" i="3" s="1"/>
  <c r="R39" i="3"/>
  <c r="T39" i="3" s="1"/>
  <c r="M39" i="3"/>
  <c r="O32" i="3"/>
  <c r="R32" i="3"/>
  <c r="T32" i="3" s="1"/>
  <c r="M32" i="3"/>
  <c r="R30" i="3"/>
  <c r="N33" i="3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O11" i="3"/>
  <c r="M11" i="3"/>
  <c r="N10" i="3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T26" i="3" s="1"/>
  <c r="O26" i="3"/>
  <c r="M26" i="3"/>
  <c r="N25" i="3"/>
  <c r="R21" i="3"/>
  <c r="T21" i="3" s="1"/>
  <c r="O8" i="3"/>
  <c r="R8" i="3"/>
  <c r="T8" i="3" s="1"/>
  <c r="M8" i="3"/>
  <c r="X13" i="3"/>
  <c r="Z13" i="3"/>
  <c r="T6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P18" i="3" s="1"/>
  <c r="Q18" i="3" s="1"/>
  <c r="R25" i="3"/>
  <c r="T25" i="3" s="1"/>
  <c r="O38" i="3"/>
  <c r="P38" i="3" s="1"/>
  <c r="Q38" i="3" s="1"/>
  <c r="R38" i="3"/>
  <c r="M38" i="3"/>
  <c r="N29" i="3"/>
  <c r="O28" i="3"/>
  <c r="P28" i="3" s="1"/>
  <c r="Q28" i="3" s="1"/>
  <c r="R28" i="3"/>
  <c r="T28" i="3" s="1"/>
  <c r="M28" i="3"/>
  <c r="R31" i="3"/>
  <c r="R27" i="3"/>
  <c r="R37" i="3"/>
  <c r="O30" i="3"/>
  <c r="P30" i="3" s="1"/>
  <c r="Q30" i="3" s="1"/>
  <c r="N41" i="3"/>
  <c r="M20" i="3"/>
  <c r="O20" i="3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O6" i="3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P27" i="3" s="1"/>
  <c r="Q27" i="3" s="1"/>
  <c r="N37" i="3"/>
  <c r="P37" i="3" s="1"/>
  <c r="Q37" i="3" s="1"/>
  <c r="R33" i="3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23" i="3" l="1"/>
  <c r="P20" i="3"/>
  <c r="Q20" i="3" s="1"/>
  <c r="T38" i="3"/>
  <c r="P10" i="3"/>
  <c r="Q10" i="3" s="1"/>
  <c r="T30" i="3"/>
  <c r="T33" i="3"/>
  <c r="T27" i="3"/>
  <c r="P25" i="3"/>
  <c r="Q25" i="3" s="1"/>
  <c r="T11" i="3"/>
  <c r="T31" i="3"/>
  <c r="T5" i="3"/>
  <c r="P6" i="3"/>
  <c r="Q6" i="3" s="1"/>
  <c r="P8" i="3"/>
  <c r="Q8" i="3" s="1"/>
  <c r="T7" i="3"/>
  <c r="P33" i="3"/>
  <c r="Q33" i="3" s="1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T42" i="3" l="1"/>
  <c r="Q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<sst xmlns="http://schemas.openxmlformats.org/spreadsheetml/2006/main" count="394" uniqueCount="37">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</sst>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activeCell="A4" sqref="A2:XFD4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42979.618622685186</v>
      </c>
      <c r="B2">
        <v>106.3638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1.6</v>
      </c>
      <c r="I2">
        <v>-4.117</v>
      </c>
      <c r="J2">
        <v>9.4286949999999994</v>
      </c>
      <c r="K2">
        <v>349.97379999999998</v>
      </c>
      <c r="L2">
        <v>2.2024819999999998</v>
      </c>
    </row>
    <row r="3" spans="1:12" x14ac:dyDescent="0.2">
      <c r="A3" s="1">
        <v>42979.618773148148</v>
      </c>
      <c r="B3">
        <v>119.0996</v>
      </c>
      <c r="C3">
        <v>0</v>
      </c>
      <c r="D3" t="s">
        <v>35</v>
      </c>
      <c r="E3" t="s">
        <v>0</v>
      </c>
      <c r="F3" t="s">
        <v>1</v>
      </c>
      <c r="G3">
        <v>-0.83475529999999998</v>
      </c>
      <c r="H3">
        <v>1.6</v>
      </c>
      <c r="I3">
        <v>-4.1163639999999999</v>
      </c>
      <c r="J3">
        <v>10.50713</v>
      </c>
      <c r="K3">
        <v>356.84969999999998</v>
      </c>
      <c r="L3">
        <v>358.56270000000001</v>
      </c>
    </row>
    <row r="4" spans="1:12" x14ac:dyDescent="0.2">
      <c r="A4" s="1">
        <v>42979.619537037041</v>
      </c>
      <c r="B4">
        <v>185.4622</v>
      </c>
      <c r="C4">
        <v>0</v>
      </c>
      <c r="D4" t="s">
        <v>36</v>
      </c>
      <c r="E4" t="s">
        <v>0</v>
      </c>
      <c r="F4" t="s">
        <v>1</v>
      </c>
      <c r="G4">
        <v>0.78991429999999996</v>
      </c>
      <c r="H4">
        <v>1.6</v>
      </c>
      <c r="I4">
        <v>8.709282</v>
      </c>
      <c r="J4">
        <v>9.8234720000000006</v>
      </c>
      <c r="K4">
        <v>285.57060000000001</v>
      </c>
      <c r="L4">
        <v>0.1852888</v>
      </c>
    </row>
    <row r="5" spans="1:12" x14ac:dyDescent="0.2">
      <c r="A5" s="1">
        <v>42979.61986111111</v>
      </c>
      <c r="B5">
        <v>213.59649999999999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1.6</v>
      </c>
      <c r="I5">
        <v>-4.3440000000000003</v>
      </c>
      <c r="J5">
        <v>358.8546</v>
      </c>
      <c r="K5">
        <v>291.60590000000002</v>
      </c>
      <c r="L5">
        <v>1.0319910000000001</v>
      </c>
    </row>
    <row r="6" spans="1:12" x14ac:dyDescent="0.2">
      <c r="A6" s="1">
        <v>42979.619976851849</v>
      </c>
      <c r="B6">
        <v>223.55449999999999</v>
      </c>
      <c r="C6">
        <v>1</v>
      </c>
      <c r="D6" t="s">
        <v>35</v>
      </c>
      <c r="E6" t="s">
        <v>2</v>
      </c>
      <c r="F6" t="s">
        <v>0</v>
      </c>
      <c r="G6">
        <v>3.516</v>
      </c>
      <c r="H6">
        <v>1.6</v>
      </c>
      <c r="I6">
        <v>-4.3440000000000003</v>
      </c>
      <c r="J6">
        <v>10.90382</v>
      </c>
      <c r="K6">
        <v>331.50900000000001</v>
      </c>
      <c r="L6">
        <v>1.5541400000000001</v>
      </c>
    </row>
    <row r="7" spans="1:12" x14ac:dyDescent="0.2">
      <c r="A7" s="1">
        <v>42979.620173611111</v>
      </c>
      <c r="B7">
        <v>240.17509999999999</v>
      </c>
      <c r="C7">
        <v>1</v>
      </c>
      <c r="D7" t="s">
        <v>36</v>
      </c>
      <c r="E7" t="s">
        <v>2</v>
      </c>
      <c r="F7" t="s">
        <v>0</v>
      </c>
      <c r="G7">
        <v>-2.427155</v>
      </c>
      <c r="H7">
        <v>1.6</v>
      </c>
      <c r="I7">
        <v>-2.7360829999999998</v>
      </c>
      <c r="J7">
        <v>2.265806</v>
      </c>
      <c r="K7">
        <v>213.49780000000001</v>
      </c>
      <c r="L7">
        <v>2.3266689999999999</v>
      </c>
    </row>
    <row r="8" spans="1:12" x14ac:dyDescent="0.2">
      <c r="A8" s="1">
        <v>42979.620243055557</v>
      </c>
      <c r="B8">
        <v>246.48480000000001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1.6</v>
      </c>
      <c r="I8">
        <v>1.8169999999999999</v>
      </c>
      <c r="J8">
        <v>1.585035</v>
      </c>
      <c r="K8">
        <v>207.5703</v>
      </c>
      <c r="L8">
        <v>0.57277929999999999</v>
      </c>
    </row>
    <row r="9" spans="1:12" x14ac:dyDescent="0.2">
      <c r="A9" s="1">
        <v>42979.620439814818</v>
      </c>
      <c r="B9">
        <v>263.27109999999999</v>
      </c>
      <c r="C9">
        <v>2</v>
      </c>
      <c r="D9" t="s">
        <v>35</v>
      </c>
      <c r="E9" t="s">
        <v>3</v>
      </c>
      <c r="F9" t="s">
        <v>4</v>
      </c>
      <c r="G9">
        <v>3.3726449999999999</v>
      </c>
      <c r="H9">
        <v>1.6</v>
      </c>
      <c r="I9">
        <v>1.8220000000000001</v>
      </c>
      <c r="J9">
        <v>7.8724740000000004</v>
      </c>
      <c r="K9">
        <v>159.2139</v>
      </c>
      <c r="L9">
        <v>4.1197239999999997</v>
      </c>
    </row>
    <row r="10" spans="1:12" x14ac:dyDescent="0.2">
      <c r="A10" s="1">
        <v>42979.620578703703</v>
      </c>
      <c r="B10">
        <v>275.07</v>
      </c>
      <c r="C10">
        <v>2</v>
      </c>
      <c r="D10" t="s">
        <v>36</v>
      </c>
      <c r="E10" t="s">
        <v>3</v>
      </c>
      <c r="F10" t="s">
        <v>4</v>
      </c>
      <c r="G10">
        <v>3.4803649999999999</v>
      </c>
      <c r="H10">
        <v>1.6</v>
      </c>
      <c r="I10">
        <v>-2.7996629999999998</v>
      </c>
      <c r="J10">
        <v>5.8742419999999997</v>
      </c>
      <c r="K10">
        <v>113.1186</v>
      </c>
      <c r="L10">
        <v>359.68079999999998</v>
      </c>
    </row>
    <row r="11" spans="1:12" x14ac:dyDescent="0.2">
      <c r="A11" s="1">
        <v>42979.620625000003</v>
      </c>
      <c r="B11">
        <v>278.98610000000002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1.6</v>
      </c>
      <c r="I11">
        <v>4.1399999999999997</v>
      </c>
      <c r="J11">
        <v>6.1452600000000004</v>
      </c>
      <c r="K11">
        <v>108.1611</v>
      </c>
      <c r="L11">
        <v>0.85401419999999995</v>
      </c>
    </row>
    <row r="12" spans="1:12" x14ac:dyDescent="0.2">
      <c r="A12" s="1">
        <v>42979.620729166665</v>
      </c>
      <c r="B12">
        <v>287.90620000000001</v>
      </c>
      <c r="C12">
        <v>3</v>
      </c>
      <c r="D12" t="s">
        <v>35</v>
      </c>
      <c r="E12" t="s">
        <v>1</v>
      </c>
      <c r="F12" t="s">
        <v>5</v>
      </c>
      <c r="G12">
        <v>-4.0750729999999997</v>
      </c>
      <c r="H12">
        <v>1.6</v>
      </c>
      <c r="I12">
        <v>4.1385589999999999</v>
      </c>
      <c r="J12">
        <v>1.6905060000000001</v>
      </c>
      <c r="K12">
        <v>15.630710000000001</v>
      </c>
      <c r="L12">
        <v>0.24738660000000001</v>
      </c>
    </row>
    <row r="13" spans="1:12" x14ac:dyDescent="0.2">
      <c r="A13" s="1">
        <v>42979.620891203704</v>
      </c>
      <c r="B13">
        <v>302.0471</v>
      </c>
      <c r="C13">
        <v>3</v>
      </c>
      <c r="D13" t="s">
        <v>36</v>
      </c>
      <c r="E13" t="s">
        <v>1</v>
      </c>
      <c r="F13" t="s">
        <v>5</v>
      </c>
      <c r="G13">
        <v>2.0017290000000001</v>
      </c>
      <c r="H13">
        <v>1.6</v>
      </c>
      <c r="I13">
        <v>1.3509679999999999</v>
      </c>
      <c r="J13">
        <v>1.4758100000000001</v>
      </c>
      <c r="K13">
        <v>28.988779999999998</v>
      </c>
      <c r="L13">
        <v>358.9151</v>
      </c>
    </row>
    <row r="14" spans="1:12" x14ac:dyDescent="0.2">
      <c r="A14" s="1">
        <v>42979.62091435185</v>
      </c>
      <c r="B14">
        <v>304.40699999999998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1.6</v>
      </c>
      <c r="I14">
        <v>-0.67300000000000004</v>
      </c>
      <c r="J14">
        <v>359.82679999999999</v>
      </c>
      <c r="K14">
        <v>34.422330000000002</v>
      </c>
      <c r="L14">
        <v>358.83969999999999</v>
      </c>
    </row>
    <row r="15" spans="1:12" x14ac:dyDescent="0.2">
      <c r="A15" s="1">
        <v>42979.621030092596</v>
      </c>
      <c r="B15">
        <v>313.92950000000002</v>
      </c>
      <c r="C15">
        <v>4</v>
      </c>
      <c r="D15" t="s">
        <v>35</v>
      </c>
      <c r="E15" t="s">
        <v>4</v>
      </c>
      <c r="F15" t="s">
        <v>6</v>
      </c>
      <c r="G15">
        <v>3.9028659999999999</v>
      </c>
      <c r="H15">
        <v>1.6</v>
      </c>
      <c r="I15">
        <v>-0.67410429999999999</v>
      </c>
      <c r="J15">
        <v>8.7658260000000006</v>
      </c>
      <c r="K15">
        <v>266.74149999999997</v>
      </c>
      <c r="L15">
        <v>357.43830000000003</v>
      </c>
    </row>
    <row r="16" spans="1:12" x14ac:dyDescent="0.2">
      <c r="A16" s="1">
        <v>42979.621192129627</v>
      </c>
      <c r="B16">
        <v>327.92059999999998</v>
      </c>
      <c r="C16">
        <v>4</v>
      </c>
      <c r="D16" t="s">
        <v>36</v>
      </c>
      <c r="E16" t="s">
        <v>4</v>
      </c>
      <c r="F16" t="s">
        <v>6</v>
      </c>
      <c r="G16">
        <v>-4.1793300000000002</v>
      </c>
      <c r="H16">
        <v>1.6</v>
      </c>
      <c r="I16">
        <v>6.7149669999999997</v>
      </c>
      <c r="J16">
        <v>358.60109999999997</v>
      </c>
      <c r="K16">
        <v>216.95439999999999</v>
      </c>
      <c r="L16">
        <v>0.93241779999999996</v>
      </c>
    </row>
    <row r="17" spans="1:12" x14ac:dyDescent="0.2">
      <c r="A17" s="1">
        <v>42979.621238425927</v>
      </c>
      <c r="B17">
        <v>331.81990000000002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1.6</v>
      </c>
      <c r="I17">
        <v>-4.117</v>
      </c>
      <c r="J17">
        <v>2.5432359999999998</v>
      </c>
      <c r="K17">
        <v>223.7542</v>
      </c>
      <c r="L17">
        <v>356.54140000000001</v>
      </c>
    </row>
    <row r="18" spans="1:12" x14ac:dyDescent="0.2">
      <c r="A18" s="1">
        <v>42979.621354166666</v>
      </c>
      <c r="B18">
        <v>342.43079999999998</v>
      </c>
      <c r="C18">
        <v>5</v>
      </c>
      <c r="D18" t="s">
        <v>35</v>
      </c>
      <c r="E18" t="s">
        <v>0</v>
      </c>
      <c r="F18" t="s">
        <v>1</v>
      </c>
      <c r="G18">
        <v>-0.85</v>
      </c>
      <c r="H18">
        <v>1.6</v>
      </c>
      <c r="I18">
        <v>-4.117</v>
      </c>
      <c r="J18">
        <v>12.560219999999999</v>
      </c>
      <c r="K18">
        <v>359.68270000000001</v>
      </c>
      <c r="L18">
        <v>357.77100000000002</v>
      </c>
    </row>
    <row r="19" spans="1:12" x14ac:dyDescent="0.2">
      <c r="A19" s="1">
        <v>42979.621562499997</v>
      </c>
      <c r="B19">
        <v>360.10410000000002</v>
      </c>
      <c r="C19">
        <v>5</v>
      </c>
      <c r="D19" t="s">
        <v>36</v>
      </c>
      <c r="E19" t="s">
        <v>0</v>
      </c>
      <c r="F19" t="s">
        <v>1</v>
      </c>
      <c r="G19">
        <v>2.4028649999999998</v>
      </c>
      <c r="H19">
        <v>1.6</v>
      </c>
      <c r="I19">
        <v>5.8168439999999997</v>
      </c>
      <c r="J19">
        <v>2.5310649999999999</v>
      </c>
      <c r="K19">
        <v>293.89929999999998</v>
      </c>
      <c r="L19">
        <v>359.03980000000001</v>
      </c>
    </row>
    <row r="20" spans="1:12" x14ac:dyDescent="0.2">
      <c r="A20" s="1">
        <v>42979.62159722222</v>
      </c>
      <c r="B20">
        <v>362.99939999999998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1.6</v>
      </c>
      <c r="I20">
        <v>-1.4059999999999999</v>
      </c>
      <c r="J20">
        <v>1.9227810000000001</v>
      </c>
      <c r="K20">
        <v>299.04450000000003</v>
      </c>
      <c r="L20">
        <v>358.0967</v>
      </c>
    </row>
    <row r="21" spans="1:12" x14ac:dyDescent="0.2">
      <c r="A21" s="1">
        <v>42979.621724537035</v>
      </c>
      <c r="B21">
        <v>374.42959999999999</v>
      </c>
      <c r="C21">
        <v>6</v>
      </c>
      <c r="D21" t="s">
        <v>35</v>
      </c>
      <c r="E21" t="s">
        <v>33</v>
      </c>
      <c r="F21" t="s">
        <v>3</v>
      </c>
      <c r="G21">
        <v>-3.9749210000000001</v>
      </c>
      <c r="H21">
        <v>1.6</v>
      </c>
      <c r="I21">
        <v>-1.4146019999999999</v>
      </c>
      <c r="J21">
        <v>6.6511370000000003</v>
      </c>
      <c r="K21">
        <v>20.65212</v>
      </c>
      <c r="L21">
        <v>0.12465610000000001</v>
      </c>
    </row>
    <row r="22" spans="1:12" x14ac:dyDescent="0.2">
      <c r="A22" s="1">
        <v>42979.621898148151</v>
      </c>
      <c r="B22">
        <v>389.71</v>
      </c>
      <c r="C22">
        <v>6</v>
      </c>
      <c r="D22" t="s">
        <v>36</v>
      </c>
      <c r="E22" t="s">
        <v>33</v>
      </c>
      <c r="F22" t="s">
        <v>3</v>
      </c>
      <c r="G22">
        <v>5.1975619999999996</v>
      </c>
      <c r="H22">
        <v>1.6</v>
      </c>
      <c r="I22">
        <v>3.9229799999999999</v>
      </c>
      <c r="J22">
        <v>0.65564650000000002</v>
      </c>
      <c r="K22">
        <v>329.57170000000002</v>
      </c>
      <c r="L22">
        <v>1.1462030000000001</v>
      </c>
    </row>
    <row r="23" spans="1:12" x14ac:dyDescent="0.2">
      <c r="A23" s="1">
        <v>42979.621921296297</v>
      </c>
      <c r="B23">
        <v>391.09890000000001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1.6</v>
      </c>
      <c r="I23">
        <v>4.1399999999999997</v>
      </c>
      <c r="J23">
        <v>359.81490000000002</v>
      </c>
      <c r="K23">
        <v>332.89030000000002</v>
      </c>
      <c r="L23">
        <v>0.3292505</v>
      </c>
    </row>
    <row r="24" spans="1:12" x14ac:dyDescent="0.2">
      <c r="A24" s="1">
        <v>42979.622048611112</v>
      </c>
      <c r="B24">
        <v>402.35379999999998</v>
      </c>
      <c r="C24">
        <v>7</v>
      </c>
      <c r="D24" t="s">
        <v>35</v>
      </c>
      <c r="E24" t="s">
        <v>1</v>
      </c>
      <c r="F24" t="s">
        <v>5</v>
      </c>
      <c r="G24">
        <v>-4.0750729999999997</v>
      </c>
      <c r="H24">
        <v>1.6</v>
      </c>
      <c r="I24">
        <v>4.1312550000000003</v>
      </c>
      <c r="J24">
        <v>3.1486670000000001</v>
      </c>
      <c r="K24">
        <v>74.747609999999995</v>
      </c>
      <c r="L24">
        <v>1.6840869999999999</v>
      </c>
    </row>
    <row r="25" spans="1:12" x14ac:dyDescent="0.2">
      <c r="A25" s="1">
        <v>42979.622291666667</v>
      </c>
      <c r="B25">
        <v>422.93700000000001</v>
      </c>
      <c r="C25">
        <v>7</v>
      </c>
      <c r="D25" t="s">
        <v>36</v>
      </c>
      <c r="E25" t="s">
        <v>1</v>
      </c>
      <c r="F25" t="s">
        <v>5</v>
      </c>
      <c r="G25">
        <v>4.6819290000000002</v>
      </c>
      <c r="H25">
        <v>1.6</v>
      </c>
      <c r="I25">
        <v>1.673365</v>
      </c>
      <c r="J25">
        <v>2.1934650000000002</v>
      </c>
      <c r="K25">
        <v>19.072379999999999</v>
      </c>
      <c r="L25">
        <v>359.86040000000003</v>
      </c>
    </row>
    <row r="26" spans="1:12" x14ac:dyDescent="0.2">
      <c r="A26" s="1">
        <v>42979.622303240743</v>
      </c>
      <c r="B26">
        <v>424.72750000000002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1.6</v>
      </c>
      <c r="I26">
        <v>-4.3440000000000003</v>
      </c>
      <c r="J26">
        <v>359.59059999999999</v>
      </c>
      <c r="K26">
        <v>19.320319999999999</v>
      </c>
      <c r="L26">
        <v>0.60167689999999996</v>
      </c>
    </row>
    <row r="27" spans="1:12" x14ac:dyDescent="0.2">
      <c r="A27" s="1">
        <v>42979.622384259259</v>
      </c>
      <c r="B27">
        <v>431.2373</v>
      </c>
      <c r="C27">
        <v>8</v>
      </c>
      <c r="D27" t="s">
        <v>35</v>
      </c>
      <c r="E27" t="s">
        <v>2</v>
      </c>
      <c r="F27" t="s">
        <v>0</v>
      </c>
      <c r="G27">
        <v>3.516</v>
      </c>
      <c r="H27">
        <v>1.6</v>
      </c>
      <c r="I27">
        <v>-4.3440000000000003</v>
      </c>
      <c r="J27">
        <v>8.7997309999999995</v>
      </c>
      <c r="K27">
        <v>334.19850000000002</v>
      </c>
      <c r="L27">
        <v>358.01900000000001</v>
      </c>
    </row>
    <row r="28" spans="1:12" x14ac:dyDescent="0.2">
      <c r="A28" s="1">
        <v>42979.622523148151</v>
      </c>
      <c r="B28">
        <v>442.8177</v>
      </c>
      <c r="C28">
        <v>8</v>
      </c>
      <c r="D28" t="s">
        <v>36</v>
      </c>
      <c r="E28" t="s">
        <v>2</v>
      </c>
      <c r="F28" t="s">
        <v>0</v>
      </c>
      <c r="G28">
        <v>-2.9518650000000002</v>
      </c>
      <c r="H28">
        <v>1.6</v>
      </c>
      <c r="I28">
        <v>-2.246534</v>
      </c>
      <c r="J28">
        <v>1.4513799999999999</v>
      </c>
      <c r="K28">
        <v>203.21809999999999</v>
      </c>
      <c r="L28">
        <v>1.649572</v>
      </c>
    </row>
    <row r="29" spans="1:12" x14ac:dyDescent="0.2">
      <c r="A29" s="1">
        <v>42979.622534722221</v>
      </c>
      <c r="B29">
        <v>443.88889999999998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1.6</v>
      </c>
      <c r="I29">
        <v>-1.4059999999999999</v>
      </c>
      <c r="J29">
        <v>359.52839999999998</v>
      </c>
      <c r="K29">
        <v>204.565</v>
      </c>
      <c r="L29">
        <v>1.576217</v>
      </c>
    </row>
    <row r="30" spans="1:12" x14ac:dyDescent="0.2">
      <c r="A30" s="1">
        <v>42979.622615740744</v>
      </c>
      <c r="B30">
        <v>451.35270000000003</v>
      </c>
      <c r="C30">
        <v>9</v>
      </c>
      <c r="D30" t="s">
        <v>35</v>
      </c>
      <c r="E30" t="s">
        <v>33</v>
      </c>
      <c r="F30" t="s">
        <v>3</v>
      </c>
      <c r="G30">
        <v>-4.0231170000000001</v>
      </c>
      <c r="H30">
        <v>1.6</v>
      </c>
      <c r="I30">
        <v>-1.4845440000000001</v>
      </c>
      <c r="J30">
        <v>5.0926</v>
      </c>
      <c r="K30">
        <v>13.71767</v>
      </c>
      <c r="L30">
        <v>0.81224499999999999</v>
      </c>
    </row>
    <row r="31" spans="1:12" x14ac:dyDescent="0.2">
      <c r="A31" s="1">
        <v>42979.622777777775</v>
      </c>
      <c r="B31">
        <v>464.92540000000002</v>
      </c>
      <c r="C31">
        <v>9</v>
      </c>
      <c r="D31" t="s">
        <v>36</v>
      </c>
      <c r="E31" t="s">
        <v>33</v>
      </c>
      <c r="F31" t="s">
        <v>3</v>
      </c>
      <c r="G31">
        <v>4.1861490000000003</v>
      </c>
      <c r="H31">
        <v>1.6</v>
      </c>
      <c r="I31">
        <v>4.614395</v>
      </c>
      <c r="J31">
        <v>357.76799999999997</v>
      </c>
      <c r="K31">
        <v>320.98719999999997</v>
      </c>
      <c r="L31">
        <v>0.82466600000000001</v>
      </c>
    </row>
    <row r="32" spans="1:12" x14ac:dyDescent="0.2">
      <c r="A32" s="1">
        <v>42979.622812499998</v>
      </c>
      <c r="B32">
        <v>467.78699999999998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1.6</v>
      </c>
      <c r="I32">
        <v>2.7240000000000002</v>
      </c>
      <c r="J32">
        <v>359.13639999999998</v>
      </c>
      <c r="K32">
        <v>322.39690000000002</v>
      </c>
      <c r="L32">
        <v>0.73719950000000001</v>
      </c>
    </row>
    <row r="33" spans="1:12" x14ac:dyDescent="0.2">
      <c r="A33" s="1">
        <v>42979.623032407406</v>
      </c>
      <c r="B33">
        <v>487.13279999999997</v>
      </c>
      <c r="C33">
        <v>10</v>
      </c>
      <c r="D33" t="s">
        <v>35</v>
      </c>
      <c r="E33" t="s">
        <v>5</v>
      </c>
      <c r="F33" t="s">
        <v>2</v>
      </c>
      <c r="G33">
        <v>-4.7926289999999996E-3</v>
      </c>
      <c r="H33">
        <v>1.6</v>
      </c>
      <c r="I33">
        <v>2.735347</v>
      </c>
      <c r="J33">
        <v>11.09571</v>
      </c>
      <c r="K33">
        <v>64.611959999999996</v>
      </c>
      <c r="L33">
        <v>357.38740000000001</v>
      </c>
    </row>
    <row r="34" spans="1:12" x14ac:dyDescent="0.2">
      <c r="A34" s="1">
        <v>42979.623171296298</v>
      </c>
      <c r="B34">
        <v>499.58359999999999</v>
      </c>
      <c r="C34">
        <v>10</v>
      </c>
      <c r="D34" t="s">
        <v>36</v>
      </c>
      <c r="E34" t="s">
        <v>5</v>
      </c>
      <c r="F34" t="s">
        <v>2</v>
      </c>
      <c r="G34">
        <v>-1.2263649999999999</v>
      </c>
      <c r="H34">
        <v>1.6</v>
      </c>
      <c r="I34">
        <v>-6.7412020000000004</v>
      </c>
      <c r="J34">
        <v>4.0748530000000001</v>
      </c>
      <c r="K34">
        <v>96.146000000000001</v>
      </c>
      <c r="L34">
        <v>358.95549999999997</v>
      </c>
    </row>
    <row r="35" spans="1:12" x14ac:dyDescent="0.2">
      <c r="A35" s="1">
        <v>42979.623206018521</v>
      </c>
      <c r="B35">
        <v>502.46199999999999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1.6</v>
      </c>
      <c r="I35">
        <v>-4.117</v>
      </c>
      <c r="J35">
        <v>6.6683529999999998</v>
      </c>
      <c r="K35">
        <v>98.203360000000004</v>
      </c>
      <c r="L35">
        <v>0.93652139999999995</v>
      </c>
    </row>
    <row r="36" spans="1:12" x14ac:dyDescent="0.2">
      <c r="A36" s="1">
        <v>42979.623333333337</v>
      </c>
      <c r="B36">
        <v>513.52380000000005</v>
      </c>
      <c r="C36">
        <v>11</v>
      </c>
      <c r="D36" t="s">
        <v>35</v>
      </c>
      <c r="E36" t="s">
        <v>0</v>
      </c>
      <c r="F36" t="s">
        <v>1</v>
      </c>
      <c r="G36">
        <v>-0.84551989999999999</v>
      </c>
      <c r="H36">
        <v>1.6</v>
      </c>
      <c r="I36">
        <v>-4.114706</v>
      </c>
      <c r="J36">
        <v>6.6787429999999999</v>
      </c>
      <c r="K36">
        <v>251.97290000000001</v>
      </c>
      <c r="L36">
        <v>359.27519999999998</v>
      </c>
    </row>
    <row r="37" spans="1:12" x14ac:dyDescent="0.2">
      <c r="A37" s="1">
        <v>42979.623495370368</v>
      </c>
      <c r="B37">
        <v>527.64829999999995</v>
      </c>
      <c r="C37">
        <v>11</v>
      </c>
      <c r="D37" t="s">
        <v>36</v>
      </c>
      <c r="E37" t="s">
        <v>0</v>
      </c>
      <c r="F37" t="s">
        <v>1</v>
      </c>
      <c r="G37">
        <v>-2.4663379999999999</v>
      </c>
      <c r="H37">
        <v>1.6</v>
      </c>
      <c r="I37">
        <v>7.4980529999999996</v>
      </c>
      <c r="J37">
        <v>3.6036609999999998</v>
      </c>
      <c r="K37">
        <v>270.0872</v>
      </c>
      <c r="L37">
        <v>359.03629999999998</v>
      </c>
    </row>
    <row r="38" spans="1:12" x14ac:dyDescent="0.2">
      <c r="A38" s="1">
        <v>42979.623506944445</v>
      </c>
      <c r="B38">
        <v>528.73609999999996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1.6</v>
      </c>
      <c r="I38">
        <v>1.8169999999999999</v>
      </c>
      <c r="J38">
        <v>2.7055449999999999</v>
      </c>
      <c r="K38">
        <v>271.56810000000002</v>
      </c>
      <c r="L38">
        <v>359.36869999999999</v>
      </c>
    </row>
    <row r="39" spans="1:12" x14ac:dyDescent="0.2">
      <c r="A39" s="1">
        <v>42979.623611111114</v>
      </c>
      <c r="B39">
        <v>537.62260000000003</v>
      </c>
      <c r="C39">
        <v>12</v>
      </c>
      <c r="D39" t="s">
        <v>35</v>
      </c>
      <c r="E39" t="s">
        <v>3</v>
      </c>
      <c r="F39" t="s">
        <v>4</v>
      </c>
      <c r="G39">
        <v>3.3859750000000002</v>
      </c>
      <c r="H39">
        <v>1.6</v>
      </c>
      <c r="I39">
        <v>1.7964869999999999</v>
      </c>
      <c r="J39">
        <v>8.7916790000000002</v>
      </c>
      <c r="K39">
        <v>139.13560000000001</v>
      </c>
      <c r="L39">
        <v>358.9778</v>
      </c>
    </row>
    <row r="40" spans="1:12" x14ac:dyDescent="0.2">
      <c r="A40" s="1">
        <v>42979.623726851853</v>
      </c>
      <c r="B40">
        <v>547.51260000000002</v>
      </c>
      <c r="C40">
        <v>12</v>
      </c>
      <c r="D40" t="s">
        <v>36</v>
      </c>
      <c r="E40" t="s">
        <v>3</v>
      </c>
      <c r="F40" t="s">
        <v>4</v>
      </c>
      <c r="G40">
        <v>2.49776</v>
      </c>
      <c r="H40">
        <v>1.6</v>
      </c>
      <c r="I40">
        <v>-3.4729610000000002</v>
      </c>
      <c r="J40">
        <v>7.6668060000000002</v>
      </c>
      <c r="K40">
        <v>101.95229999999999</v>
      </c>
      <c r="L40">
        <v>7.8448069999999995E-2</v>
      </c>
    </row>
    <row r="41" spans="1:12" x14ac:dyDescent="0.2">
      <c r="A41" s="1">
        <v>42979.623749999999</v>
      </c>
      <c r="B41">
        <v>548.85140000000001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1.6</v>
      </c>
      <c r="I41">
        <v>-1.4059999999999999</v>
      </c>
      <c r="J41">
        <v>4.8457720000000002</v>
      </c>
      <c r="K41">
        <v>103.5261</v>
      </c>
      <c r="L41">
        <v>1.090878</v>
      </c>
    </row>
    <row r="42" spans="1:12" x14ac:dyDescent="0.2">
      <c r="A42" s="1">
        <v>42979.623796296299</v>
      </c>
      <c r="B42">
        <v>553.40319999999997</v>
      </c>
      <c r="C42">
        <v>13</v>
      </c>
      <c r="D42" t="s">
        <v>35</v>
      </c>
      <c r="E42" t="s">
        <v>33</v>
      </c>
      <c r="F42" t="s">
        <v>3</v>
      </c>
      <c r="G42">
        <v>-3.9516559999999998</v>
      </c>
      <c r="H42">
        <v>1.6</v>
      </c>
      <c r="I42">
        <v>-1.424609</v>
      </c>
      <c r="J42">
        <v>0.1404184</v>
      </c>
      <c r="K42">
        <v>29.909949999999998</v>
      </c>
      <c r="L42">
        <v>359.88150000000002</v>
      </c>
    </row>
    <row r="43" spans="1:12" x14ac:dyDescent="0.2">
      <c r="A43" s="1">
        <v>42979.62395833333</v>
      </c>
      <c r="B43">
        <v>567.0181</v>
      </c>
      <c r="C43">
        <v>13</v>
      </c>
      <c r="D43" t="s">
        <v>36</v>
      </c>
      <c r="E43" t="s">
        <v>33</v>
      </c>
      <c r="F43" t="s">
        <v>3</v>
      </c>
      <c r="G43">
        <v>6.425878</v>
      </c>
      <c r="H43">
        <v>1.6</v>
      </c>
      <c r="I43">
        <v>1.5469889999999999</v>
      </c>
      <c r="J43">
        <v>1.451381</v>
      </c>
      <c r="K43">
        <v>335.52069999999998</v>
      </c>
      <c r="L43">
        <v>359.61360000000002</v>
      </c>
    </row>
    <row r="44" spans="1:12" x14ac:dyDescent="0.2">
      <c r="A44" s="1">
        <v>42979.623969907407</v>
      </c>
      <c r="B44">
        <v>568.08910000000003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1.6</v>
      </c>
      <c r="I44">
        <v>2.7240000000000002</v>
      </c>
      <c r="J44">
        <v>1.6545639999999999</v>
      </c>
      <c r="K44">
        <v>341.17950000000002</v>
      </c>
      <c r="L44">
        <v>0.23253950000000001</v>
      </c>
    </row>
    <row r="45" spans="1:12" x14ac:dyDescent="0.2">
      <c r="A45" s="1">
        <v>42979.624097222222</v>
      </c>
      <c r="B45">
        <v>579.74570000000006</v>
      </c>
      <c r="C45">
        <v>14</v>
      </c>
      <c r="D45" t="s">
        <v>35</v>
      </c>
      <c r="E45" t="s">
        <v>5</v>
      </c>
      <c r="F45" t="s">
        <v>2</v>
      </c>
      <c r="G45">
        <v>1.6E-2</v>
      </c>
      <c r="H45">
        <v>1.6</v>
      </c>
      <c r="I45">
        <v>2.7240000000000002</v>
      </c>
      <c r="J45">
        <v>13.158390000000001</v>
      </c>
      <c r="K45">
        <v>76.268079999999998</v>
      </c>
      <c r="L45">
        <v>357.25009999999997</v>
      </c>
    </row>
    <row r="46" spans="1:12" x14ac:dyDescent="0.2">
      <c r="A46" s="1">
        <v>42979.624236111114</v>
      </c>
      <c r="B46">
        <v>590.92570000000001</v>
      </c>
      <c r="C46">
        <v>14</v>
      </c>
      <c r="D46" t="s">
        <v>36</v>
      </c>
      <c r="E46" t="s">
        <v>5</v>
      </c>
      <c r="F46" t="s">
        <v>2</v>
      </c>
      <c r="G46">
        <v>0.98686770000000001</v>
      </c>
      <c r="H46">
        <v>1.6</v>
      </c>
      <c r="I46">
        <v>-7.1299840000000003</v>
      </c>
      <c r="J46">
        <v>3.786314</v>
      </c>
      <c r="K46">
        <v>77.086879999999994</v>
      </c>
      <c r="L46">
        <v>3.87674E-2</v>
      </c>
    </row>
    <row r="47" spans="1:12" x14ac:dyDescent="0.2">
      <c r="A47" s="1">
        <v>42979.624259259261</v>
      </c>
      <c r="B47">
        <v>593.03440000000001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1.6</v>
      </c>
      <c r="I47">
        <v>0.09</v>
      </c>
      <c r="J47">
        <v>2.0220479999999998</v>
      </c>
      <c r="K47">
        <v>79.458179999999999</v>
      </c>
      <c r="L47">
        <v>1.023552</v>
      </c>
    </row>
    <row r="48" spans="1:12" x14ac:dyDescent="0.2">
      <c r="A48" s="1">
        <v>42979.624351851853</v>
      </c>
      <c r="B48">
        <v>601.21839999999997</v>
      </c>
      <c r="C48">
        <v>15</v>
      </c>
      <c r="D48" t="s">
        <v>35</v>
      </c>
      <c r="E48" t="s">
        <v>6</v>
      </c>
      <c r="F48" t="s">
        <v>33</v>
      </c>
      <c r="G48">
        <v>-4.1100000000000003</v>
      </c>
      <c r="H48">
        <v>1.6</v>
      </c>
      <c r="I48">
        <v>0.09</v>
      </c>
      <c r="J48">
        <v>9.3887699999999992</v>
      </c>
      <c r="K48">
        <v>7.8512820000000003</v>
      </c>
      <c r="L48">
        <v>359.53390000000002</v>
      </c>
    </row>
    <row r="49" spans="1:12" x14ac:dyDescent="0.2">
      <c r="A49" s="1">
        <v>42979.624525462961</v>
      </c>
      <c r="B49">
        <v>616.28089999999997</v>
      </c>
      <c r="C49">
        <v>15</v>
      </c>
      <c r="D49" t="s">
        <v>36</v>
      </c>
      <c r="E49" t="s">
        <v>6</v>
      </c>
      <c r="F49" t="s">
        <v>33</v>
      </c>
      <c r="G49">
        <v>-6.703805</v>
      </c>
      <c r="H49">
        <v>1.6</v>
      </c>
      <c r="I49">
        <v>-5.3874779999999998</v>
      </c>
      <c r="J49">
        <v>2.5060739999999999</v>
      </c>
      <c r="K49">
        <v>115.4307</v>
      </c>
      <c r="L49">
        <v>359.59320000000002</v>
      </c>
    </row>
    <row r="50" spans="1:12" x14ac:dyDescent="0.2">
      <c r="A50" s="1">
        <v>42979.624537037038</v>
      </c>
      <c r="B50">
        <v>617.30169999999998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1.6</v>
      </c>
      <c r="I50">
        <v>-0.67300000000000004</v>
      </c>
      <c r="J50">
        <v>1.7202710000000001</v>
      </c>
      <c r="K50">
        <v>115.711</v>
      </c>
      <c r="L50">
        <v>359.67669999999998</v>
      </c>
    </row>
    <row r="51" spans="1:12" x14ac:dyDescent="0.2">
      <c r="A51" s="1">
        <v>42979.624618055554</v>
      </c>
      <c r="B51">
        <v>624.28039999999999</v>
      </c>
      <c r="C51">
        <v>16</v>
      </c>
      <c r="D51" t="s">
        <v>35</v>
      </c>
      <c r="E51" t="s">
        <v>4</v>
      </c>
      <c r="F51" t="s">
        <v>6</v>
      </c>
      <c r="G51">
        <v>3.9212560000000001</v>
      </c>
      <c r="H51">
        <v>1.6</v>
      </c>
      <c r="I51">
        <v>-0.67676289999999995</v>
      </c>
      <c r="J51">
        <v>9.568695</v>
      </c>
      <c r="K51">
        <v>180.5617</v>
      </c>
      <c r="L51">
        <v>357.33089999999999</v>
      </c>
    </row>
    <row r="52" spans="1:12" x14ac:dyDescent="0.2">
      <c r="A52" s="1">
        <v>42979.624780092592</v>
      </c>
      <c r="B52">
        <v>638.57209999999998</v>
      </c>
      <c r="C52">
        <v>16</v>
      </c>
      <c r="D52" t="s">
        <v>36</v>
      </c>
      <c r="E52" t="s">
        <v>4</v>
      </c>
      <c r="F52" t="s">
        <v>6</v>
      </c>
      <c r="G52">
        <v>-4.1636769999999999</v>
      </c>
      <c r="H52">
        <v>1.6</v>
      </c>
      <c r="I52">
        <v>4.5125679999999999</v>
      </c>
      <c r="J52">
        <v>0.77259599999999995</v>
      </c>
      <c r="K52">
        <v>210.94040000000001</v>
      </c>
      <c r="L52">
        <v>0.47281859999999998</v>
      </c>
    </row>
    <row r="53" spans="1:12" x14ac:dyDescent="0.2">
      <c r="A53" s="1">
        <v>42979.624791666669</v>
      </c>
      <c r="B53">
        <v>639.59299999999996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1.6</v>
      </c>
      <c r="I53">
        <v>1.8169999999999999</v>
      </c>
      <c r="J53">
        <v>7.5979959999999999E-2</v>
      </c>
      <c r="K53">
        <v>212.23159999999999</v>
      </c>
      <c r="L53">
        <v>1.2096100000000001</v>
      </c>
    </row>
    <row r="54" spans="1:12" x14ac:dyDescent="0.2">
      <c r="A54" s="1">
        <v>42979.624895833331</v>
      </c>
      <c r="B54">
        <v>647.96069999999997</v>
      </c>
      <c r="C54">
        <v>17</v>
      </c>
      <c r="D54" t="s">
        <v>35</v>
      </c>
      <c r="E54" t="s">
        <v>3</v>
      </c>
      <c r="F54" t="s">
        <v>4</v>
      </c>
      <c r="G54">
        <v>3.3680180000000002</v>
      </c>
      <c r="H54">
        <v>1.6</v>
      </c>
      <c r="I54">
        <v>1.812657</v>
      </c>
      <c r="J54">
        <v>4.4971290000000002</v>
      </c>
      <c r="K54">
        <v>163.1497</v>
      </c>
      <c r="L54">
        <v>0.41197050000000002</v>
      </c>
    </row>
    <row r="55" spans="1:12" x14ac:dyDescent="0.2">
      <c r="A55" s="1">
        <v>42979.624988425923</v>
      </c>
      <c r="B55">
        <v>655.92690000000005</v>
      </c>
      <c r="C55">
        <v>17</v>
      </c>
      <c r="D55" t="s">
        <v>36</v>
      </c>
      <c r="E55" t="s">
        <v>3</v>
      </c>
      <c r="F55" t="s">
        <v>4</v>
      </c>
      <c r="G55">
        <v>2.1742170000000001</v>
      </c>
      <c r="H55">
        <v>1.6</v>
      </c>
      <c r="I55">
        <v>-3.5607850000000001</v>
      </c>
      <c r="J55">
        <v>7.6617579999999998</v>
      </c>
      <c r="K55">
        <v>103.861</v>
      </c>
      <c r="L55">
        <v>2.9318900000000001</v>
      </c>
    </row>
    <row r="56" spans="1:12" x14ac:dyDescent="0.2">
      <c r="A56" s="1">
        <v>42979.625</v>
      </c>
      <c r="B56">
        <v>656.94770000000005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1.6</v>
      </c>
      <c r="I56">
        <v>-4.3440000000000003</v>
      </c>
      <c r="J56">
        <v>6.0500769999999999</v>
      </c>
      <c r="K56">
        <v>103.0317</v>
      </c>
      <c r="L56">
        <v>2.668212</v>
      </c>
    </row>
    <row r="57" spans="1:12" x14ac:dyDescent="0.2">
      <c r="A57" s="1">
        <v>42979.625069444446</v>
      </c>
      <c r="B57">
        <v>663.49099999999999</v>
      </c>
      <c r="C57">
        <v>18</v>
      </c>
      <c r="D57" t="s">
        <v>35</v>
      </c>
      <c r="E57" t="s">
        <v>2</v>
      </c>
      <c r="F57" t="s">
        <v>0</v>
      </c>
      <c r="G57">
        <v>3.6252170000000001</v>
      </c>
      <c r="H57">
        <v>1.6</v>
      </c>
      <c r="I57">
        <v>-4.3487989999999996</v>
      </c>
      <c r="J57">
        <v>5.690067</v>
      </c>
      <c r="K57">
        <v>288.1696</v>
      </c>
      <c r="L57">
        <v>358.99889999999999</v>
      </c>
    </row>
    <row r="58" spans="1:12" x14ac:dyDescent="0.2">
      <c r="A58" s="1">
        <v>42979.625162037039</v>
      </c>
      <c r="B58">
        <v>671.47360000000003</v>
      </c>
      <c r="C58">
        <v>18</v>
      </c>
      <c r="D58" t="s">
        <v>36</v>
      </c>
      <c r="E58" t="s">
        <v>2</v>
      </c>
      <c r="F58" t="s">
        <v>0</v>
      </c>
      <c r="G58">
        <v>-2.5050690000000002</v>
      </c>
      <c r="H58">
        <v>1.6</v>
      </c>
      <c r="I58">
        <v>-2.0017800000000001</v>
      </c>
      <c r="J58">
        <v>2.5983450000000001</v>
      </c>
      <c r="K58">
        <v>205.24420000000001</v>
      </c>
      <c r="L58">
        <v>0.56707529999999995</v>
      </c>
    </row>
    <row r="59" spans="1:12" x14ac:dyDescent="0.2">
      <c r="A59" s="1">
        <v>42979.625185185185</v>
      </c>
      <c r="B59">
        <v>672.94640000000004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1.6</v>
      </c>
      <c r="I59">
        <v>-0.67300000000000004</v>
      </c>
      <c r="J59">
        <v>0.95224399999999998</v>
      </c>
      <c r="K59">
        <v>205.2963</v>
      </c>
      <c r="L59">
        <v>0.22845180000000001</v>
      </c>
    </row>
    <row r="60" spans="1:12" x14ac:dyDescent="0.2">
      <c r="A60" s="1">
        <v>42979.625231481485</v>
      </c>
      <c r="B60">
        <v>676.99630000000002</v>
      </c>
      <c r="C60">
        <v>19</v>
      </c>
      <c r="D60" t="s">
        <v>35</v>
      </c>
      <c r="E60" t="s">
        <v>4</v>
      </c>
      <c r="F60" t="s">
        <v>6</v>
      </c>
      <c r="G60">
        <v>3.8746510000000001</v>
      </c>
      <c r="H60">
        <v>1.6</v>
      </c>
      <c r="I60">
        <v>-0.66004269999999998</v>
      </c>
      <c r="J60">
        <v>5.5088889999999999</v>
      </c>
      <c r="K60">
        <v>298.23</v>
      </c>
      <c r="L60">
        <v>353.1241</v>
      </c>
    </row>
    <row r="61" spans="1:12" x14ac:dyDescent="0.2">
      <c r="A61" s="1">
        <v>42979.62537037037</v>
      </c>
      <c r="B61">
        <v>689.14660000000003</v>
      </c>
      <c r="C61">
        <v>19</v>
      </c>
      <c r="D61" t="s">
        <v>36</v>
      </c>
      <c r="E61" t="s">
        <v>4</v>
      </c>
      <c r="F61" t="s">
        <v>6</v>
      </c>
      <c r="G61">
        <v>-3.1327850000000002</v>
      </c>
      <c r="H61">
        <v>1.6</v>
      </c>
      <c r="I61">
        <v>5.7644640000000003</v>
      </c>
      <c r="J61">
        <v>359.1318</v>
      </c>
      <c r="K61">
        <v>221.9419</v>
      </c>
      <c r="L61">
        <v>1.187913</v>
      </c>
    </row>
    <row r="62" spans="1:12" x14ac:dyDescent="0.2">
      <c r="A62" s="1">
        <v>42979.625381944446</v>
      </c>
      <c r="B62">
        <v>690.3682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1.6</v>
      </c>
      <c r="I62">
        <v>-1.4059999999999999</v>
      </c>
      <c r="J62">
        <v>359.67869999999999</v>
      </c>
      <c r="K62">
        <v>222.7097</v>
      </c>
      <c r="L62">
        <v>0.214285</v>
      </c>
    </row>
    <row r="63" spans="1:12" x14ac:dyDescent="0.2">
      <c r="A63" s="1">
        <v>42979.625486111108</v>
      </c>
      <c r="B63">
        <v>699.10530000000006</v>
      </c>
      <c r="C63">
        <v>20</v>
      </c>
      <c r="D63" t="s">
        <v>35</v>
      </c>
      <c r="E63" t="s">
        <v>33</v>
      </c>
      <c r="F63" t="s">
        <v>3</v>
      </c>
      <c r="G63">
        <v>-4.0785239999999998</v>
      </c>
      <c r="H63">
        <v>1.6</v>
      </c>
      <c r="I63">
        <v>-1.4447950000000001</v>
      </c>
      <c r="J63">
        <v>10.61195</v>
      </c>
      <c r="K63">
        <v>33.047080000000001</v>
      </c>
      <c r="L63">
        <v>0.46788259999999998</v>
      </c>
    </row>
    <row r="64" spans="1:12" x14ac:dyDescent="0.2">
      <c r="A64" s="1">
        <v>42979.625613425924</v>
      </c>
      <c r="B64">
        <v>710.4855</v>
      </c>
      <c r="C64">
        <v>20</v>
      </c>
      <c r="D64" t="s">
        <v>36</v>
      </c>
      <c r="E64" t="s">
        <v>33</v>
      </c>
      <c r="F64" t="s">
        <v>3</v>
      </c>
      <c r="G64">
        <v>4.9475410000000002</v>
      </c>
      <c r="H64">
        <v>1.6</v>
      </c>
      <c r="I64">
        <v>5.3411590000000002</v>
      </c>
      <c r="J64">
        <v>0.70912090000000005</v>
      </c>
      <c r="K64">
        <v>316.94749999999999</v>
      </c>
      <c r="L64">
        <v>1.1027910000000001</v>
      </c>
    </row>
    <row r="65" spans="1:12" x14ac:dyDescent="0.2">
      <c r="A65" s="1">
        <v>42979.625625000001</v>
      </c>
      <c r="B65">
        <v>711.53970000000004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1.6</v>
      </c>
      <c r="I65">
        <v>-4.117</v>
      </c>
      <c r="J65">
        <v>0.97149059999999998</v>
      </c>
      <c r="K65">
        <v>319.04239999999999</v>
      </c>
      <c r="L65">
        <v>0.83298930000000004</v>
      </c>
    </row>
    <row r="66" spans="1:12" x14ac:dyDescent="0.2">
      <c r="A66" s="1">
        <v>42979.62568287037</v>
      </c>
      <c r="B66">
        <v>716.59379999999999</v>
      </c>
      <c r="C66">
        <v>21</v>
      </c>
      <c r="D66" t="s">
        <v>35</v>
      </c>
      <c r="E66" t="s">
        <v>0</v>
      </c>
      <c r="F66" t="s">
        <v>1</v>
      </c>
      <c r="G66">
        <v>-0.85</v>
      </c>
      <c r="H66">
        <v>1.6</v>
      </c>
      <c r="I66">
        <v>-4.117</v>
      </c>
      <c r="J66">
        <v>9.9992169999999998</v>
      </c>
      <c r="K66">
        <v>355.29880000000003</v>
      </c>
      <c r="L66">
        <v>358.45119999999997</v>
      </c>
    </row>
    <row r="67" spans="1:12" x14ac:dyDescent="0.2">
      <c r="A67" s="1">
        <v>42979.625868055555</v>
      </c>
      <c r="B67">
        <v>732.17499999999995</v>
      </c>
      <c r="C67">
        <v>21</v>
      </c>
      <c r="D67" t="s">
        <v>36</v>
      </c>
      <c r="E67" t="s">
        <v>0</v>
      </c>
      <c r="F67" t="s">
        <v>1</v>
      </c>
      <c r="G67">
        <v>2.8156140000000001</v>
      </c>
      <c r="H67">
        <v>1.6</v>
      </c>
      <c r="I67">
        <v>7.8010270000000004</v>
      </c>
      <c r="J67">
        <v>0.7292014</v>
      </c>
      <c r="K67">
        <v>291.1986</v>
      </c>
      <c r="L67">
        <v>0.32092850000000001</v>
      </c>
    </row>
    <row r="68" spans="1:12" x14ac:dyDescent="0.2">
      <c r="A68" s="1">
        <v>42979.625879629632</v>
      </c>
      <c r="B68">
        <v>733.46370000000002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1.6</v>
      </c>
      <c r="I68">
        <v>4.1399999999999997</v>
      </c>
      <c r="J68">
        <v>359.78769999999997</v>
      </c>
      <c r="K68">
        <v>290.86790000000002</v>
      </c>
      <c r="L68">
        <v>0.45921869999999998</v>
      </c>
    </row>
    <row r="69" spans="1:12" x14ac:dyDescent="0.2">
      <c r="A69" s="1">
        <v>42979.62599537037</v>
      </c>
      <c r="B69">
        <v>743.35490000000004</v>
      </c>
      <c r="C69">
        <v>22</v>
      </c>
      <c r="D69" t="s">
        <v>35</v>
      </c>
      <c r="E69" t="s">
        <v>1</v>
      </c>
      <c r="F69" t="s">
        <v>5</v>
      </c>
      <c r="G69">
        <v>-4.0789999999999997</v>
      </c>
      <c r="H69">
        <v>1.6</v>
      </c>
      <c r="I69">
        <v>4.1399999999999997</v>
      </c>
      <c r="J69">
        <v>2.4857629999999999</v>
      </c>
      <c r="K69">
        <v>63.714970000000001</v>
      </c>
      <c r="L69">
        <v>358.30340000000001</v>
      </c>
    </row>
    <row r="70" spans="1:12" x14ac:dyDescent="0.2">
      <c r="A70" s="1">
        <v>42979.626168981478</v>
      </c>
      <c r="B70">
        <v>758.30020000000002</v>
      </c>
      <c r="C70">
        <v>22</v>
      </c>
      <c r="D70" t="s">
        <v>36</v>
      </c>
      <c r="E70" t="s">
        <v>1</v>
      </c>
      <c r="F70" t="s">
        <v>5</v>
      </c>
      <c r="G70">
        <v>5.5209679999999999</v>
      </c>
      <c r="H70">
        <v>1.6</v>
      </c>
      <c r="I70">
        <v>1.7149049999999999</v>
      </c>
      <c r="J70">
        <v>0.73905739999999998</v>
      </c>
      <c r="K70">
        <v>17.708549999999999</v>
      </c>
      <c r="L70">
        <v>358.18130000000002</v>
      </c>
    </row>
    <row r="71" spans="1:12" x14ac:dyDescent="0.2">
      <c r="A71" s="1">
        <v>42979.626192129632</v>
      </c>
      <c r="B71">
        <v>759.85640000000001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1.6</v>
      </c>
      <c r="I71">
        <v>0.09</v>
      </c>
      <c r="J71">
        <v>358.56760000000003</v>
      </c>
      <c r="K71">
        <v>16.607250000000001</v>
      </c>
      <c r="L71">
        <v>359.86869999999999</v>
      </c>
    </row>
    <row r="72" spans="1:12" x14ac:dyDescent="0.2">
      <c r="A72" s="1">
        <v>42979.626226851855</v>
      </c>
      <c r="B72">
        <v>763.67179999999996</v>
      </c>
      <c r="C72">
        <v>23</v>
      </c>
      <c r="D72" t="s">
        <v>35</v>
      </c>
      <c r="E72" t="s">
        <v>6</v>
      </c>
      <c r="F72" t="s">
        <v>33</v>
      </c>
      <c r="G72">
        <v>-4.1082879999999999</v>
      </c>
      <c r="H72">
        <v>1.6</v>
      </c>
      <c r="I72">
        <v>0.1051448</v>
      </c>
      <c r="J72">
        <v>2.9968469999999998</v>
      </c>
      <c r="K72">
        <v>358.60480000000001</v>
      </c>
      <c r="L72">
        <v>354.12279999999998</v>
      </c>
    </row>
    <row r="73" spans="1:12" x14ac:dyDescent="0.2">
      <c r="A73" s="1">
        <v>42979.626400462963</v>
      </c>
      <c r="B73">
        <v>778.24800000000005</v>
      </c>
      <c r="C73">
        <v>23</v>
      </c>
      <c r="D73" t="s">
        <v>36</v>
      </c>
      <c r="E73" t="s">
        <v>6</v>
      </c>
      <c r="F73" t="s">
        <v>33</v>
      </c>
      <c r="G73">
        <v>-5.2725169999999997</v>
      </c>
      <c r="H73">
        <v>1.6</v>
      </c>
      <c r="I73">
        <v>-4.2181699999999998</v>
      </c>
      <c r="J73">
        <v>5.4490309999999997</v>
      </c>
      <c r="K73">
        <v>100.6391</v>
      </c>
      <c r="L73">
        <v>357.68169999999998</v>
      </c>
    </row>
    <row r="74" spans="1:12" x14ac:dyDescent="0.2">
      <c r="A74" s="1">
        <v>42979.62641203704</v>
      </c>
      <c r="B74">
        <v>779.65369999999996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1.6</v>
      </c>
      <c r="I74">
        <v>2.7240000000000002</v>
      </c>
      <c r="J74">
        <v>3.6197979999999998</v>
      </c>
      <c r="K74">
        <v>99.516030000000001</v>
      </c>
      <c r="L74">
        <v>358.6542</v>
      </c>
    </row>
    <row r="75" spans="1:12" x14ac:dyDescent="0.2">
      <c r="A75" s="1">
        <v>42979.626736111109</v>
      </c>
      <c r="B75">
        <v>807.68629999999996</v>
      </c>
      <c r="C75">
        <v>24</v>
      </c>
      <c r="D75" t="s">
        <v>35</v>
      </c>
      <c r="E75" t="s">
        <v>5</v>
      </c>
      <c r="F75" t="s">
        <v>2</v>
      </c>
      <c r="G75">
        <v>4.6223729999999999E-3</v>
      </c>
      <c r="H75">
        <v>1.6</v>
      </c>
      <c r="I75">
        <v>2.6425390000000002</v>
      </c>
      <c r="J75">
        <v>0.75806929999999995</v>
      </c>
      <c r="K75">
        <v>86.182900000000004</v>
      </c>
      <c r="L75">
        <v>355.30489999999998</v>
      </c>
    </row>
    <row r="76" spans="1:12" x14ac:dyDescent="0.2">
      <c r="A76" s="1">
        <v>42979.626898148148</v>
      </c>
      <c r="B76">
        <v>820.94090000000006</v>
      </c>
      <c r="C76">
        <v>24</v>
      </c>
      <c r="D76" t="s">
        <v>36</v>
      </c>
      <c r="E76" t="s">
        <v>5</v>
      </c>
      <c r="F76" t="s">
        <v>2</v>
      </c>
      <c r="G76">
        <v>0.51192119999999997</v>
      </c>
      <c r="H76">
        <v>1.6</v>
      </c>
      <c r="I76">
        <v>-6.0612209999999997</v>
      </c>
      <c r="J76">
        <v>2.4859330000000002</v>
      </c>
      <c r="K76">
        <v>84.603189999999998</v>
      </c>
      <c r="L76">
        <v>0.12910659999999999</v>
      </c>
    </row>
    <row r="77" spans="1:12" x14ac:dyDescent="0.2">
      <c r="A77" s="1">
        <v>42979.626909722225</v>
      </c>
      <c r="B77">
        <v>822.09559999999999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1.6</v>
      </c>
      <c r="I77">
        <v>4.1399999999999997</v>
      </c>
      <c r="J77">
        <v>0.6460728</v>
      </c>
      <c r="K77">
        <v>84.932460000000006</v>
      </c>
      <c r="L77">
        <v>0.30565360000000003</v>
      </c>
    </row>
    <row r="78" spans="1:12" x14ac:dyDescent="0.2">
      <c r="A78" s="1">
        <v>42979.626967592594</v>
      </c>
      <c r="B78">
        <v>827.53440000000001</v>
      </c>
      <c r="C78">
        <v>25</v>
      </c>
      <c r="D78" t="s">
        <v>35</v>
      </c>
      <c r="E78" t="s">
        <v>1</v>
      </c>
      <c r="F78" t="s">
        <v>5</v>
      </c>
      <c r="G78">
        <v>-4.0789999999999997</v>
      </c>
      <c r="H78">
        <v>1.6</v>
      </c>
      <c r="I78">
        <v>4.1399999999999997</v>
      </c>
      <c r="J78">
        <v>5.4802049999999998</v>
      </c>
      <c r="K78">
        <v>53.470239999999997</v>
      </c>
      <c r="L78">
        <v>4.797511E-3</v>
      </c>
    </row>
    <row r="79" spans="1:12" x14ac:dyDescent="0.2">
      <c r="A79" s="1">
        <v>42979.627083333333</v>
      </c>
      <c r="B79">
        <v>836.97349999999994</v>
      </c>
      <c r="C79">
        <v>25</v>
      </c>
      <c r="D79" t="s">
        <v>36</v>
      </c>
      <c r="E79" t="s">
        <v>1</v>
      </c>
      <c r="F79" t="s">
        <v>5</v>
      </c>
      <c r="G79">
        <v>3.2589549999999998</v>
      </c>
      <c r="H79">
        <v>1.6</v>
      </c>
      <c r="I79">
        <v>1.4807269999999999</v>
      </c>
      <c r="J79">
        <v>4.4140110000000004</v>
      </c>
      <c r="K79">
        <v>19.352219999999999</v>
      </c>
      <c r="L79">
        <v>358.54820000000001</v>
      </c>
    </row>
    <row r="80" spans="1:12" x14ac:dyDescent="0.2">
      <c r="A80" s="1">
        <v>42979.62709490741</v>
      </c>
      <c r="B80">
        <v>838.04470000000003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1.6</v>
      </c>
      <c r="I80">
        <v>-0.67300000000000004</v>
      </c>
      <c r="J80">
        <v>1.915073</v>
      </c>
      <c r="K80">
        <v>21.210039999999999</v>
      </c>
      <c r="L80">
        <v>358.77530000000002</v>
      </c>
    </row>
    <row r="81" spans="1:12" x14ac:dyDescent="0.2">
      <c r="A81" s="1">
        <v>42979.627245370371</v>
      </c>
      <c r="B81">
        <v>851.26679999999999</v>
      </c>
      <c r="C81">
        <v>26</v>
      </c>
      <c r="D81" t="s">
        <v>35</v>
      </c>
      <c r="E81" t="s">
        <v>4</v>
      </c>
      <c r="F81" t="s">
        <v>6</v>
      </c>
      <c r="G81">
        <v>3.9180000000000001</v>
      </c>
      <c r="H81">
        <v>1.6</v>
      </c>
      <c r="I81">
        <v>-0.67300000000000004</v>
      </c>
      <c r="J81">
        <v>9.0995399999999993</v>
      </c>
      <c r="K81">
        <v>211.68129999999999</v>
      </c>
      <c r="L81">
        <v>357.2285</v>
      </c>
    </row>
    <row r="82" spans="1:12" x14ac:dyDescent="0.2">
      <c r="A82" s="1">
        <v>42979.627384259256</v>
      </c>
      <c r="B82">
        <v>863.04909999999995</v>
      </c>
      <c r="C82">
        <v>26</v>
      </c>
      <c r="D82" t="s">
        <v>36</v>
      </c>
      <c r="E82" t="s">
        <v>4</v>
      </c>
      <c r="F82" t="s">
        <v>6</v>
      </c>
      <c r="G82">
        <v>-3.2656700000000001</v>
      </c>
      <c r="H82">
        <v>1.6</v>
      </c>
      <c r="I82">
        <v>4.4527789999999996</v>
      </c>
      <c r="J82">
        <v>1.3217760000000001</v>
      </c>
      <c r="K82">
        <v>216.31720000000001</v>
      </c>
      <c r="L82">
        <v>359.82690000000002</v>
      </c>
    </row>
    <row r="83" spans="1:12" x14ac:dyDescent="0.2">
      <c r="A83" s="1">
        <v>42979.627395833333</v>
      </c>
      <c r="B83">
        <v>864.08669999999995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1.6</v>
      </c>
      <c r="I83">
        <v>2.7240000000000002</v>
      </c>
      <c r="J83">
        <v>1.517749</v>
      </c>
      <c r="K83">
        <v>216.31989999999999</v>
      </c>
      <c r="L83">
        <v>357.72210000000001</v>
      </c>
    </row>
    <row r="84" spans="1:12" x14ac:dyDescent="0.2">
      <c r="A84" s="1">
        <v>42979.627546296295</v>
      </c>
      <c r="B84">
        <v>877.74469999999997</v>
      </c>
      <c r="C84">
        <v>27</v>
      </c>
      <c r="D84" t="s">
        <v>35</v>
      </c>
      <c r="E84" t="s">
        <v>5</v>
      </c>
      <c r="F84" t="s">
        <v>2</v>
      </c>
      <c r="G84">
        <v>2.7257839999999998E-2</v>
      </c>
      <c r="H84">
        <v>1.6</v>
      </c>
      <c r="I84">
        <v>2.7226859999999999</v>
      </c>
      <c r="J84">
        <v>12.374650000000001</v>
      </c>
      <c r="K84">
        <v>80.459199999999996</v>
      </c>
      <c r="L84">
        <v>357.7029</v>
      </c>
    </row>
    <row r="85" spans="1:12" x14ac:dyDescent="0.2">
      <c r="A85" s="1">
        <v>42979.627696759257</v>
      </c>
      <c r="B85">
        <v>890.61410000000001</v>
      </c>
      <c r="C85">
        <v>27</v>
      </c>
      <c r="D85" t="s">
        <v>36</v>
      </c>
      <c r="E85" t="s">
        <v>5</v>
      </c>
      <c r="F85" t="s">
        <v>2</v>
      </c>
      <c r="G85">
        <v>2.3921130000000002</v>
      </c>
      <c r="H85">
        <v>1.6</v>
      </c>
      <c r="I85">
        <v>-8.0833700000000004</v>
      </c>
      <c r="J85">
        <v>4.599272</v>
      </c>
      <c r="K85">
        <v>64.022239999999996</v>
      </c>
      <c r="L85">
        <v>358.26029999999997</v>
      </c>
    </row>
    <row r="86" spans="1:12" x14ac:dyDescent="0.2">
      <c r="A86" s="1">
        <v>42979.62773148148</v>
      </c>
      <c r="B86">
        <v>893.92759999999998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1.6</v>
      </c>
      <c r="I86">
        <v>-4.117</v>
      </c>
      <c r="J86">
        <v>3.5829650000000002</v>
      </c>
      <c r="K86">
        <v>67.894059999999996</v>
      </c>
      <c r="L86">
        <v>0.26564219999999999</v>
      </c>
    </row>
    <row r="87" spans="1:12" x14ac:dyDescent="0.2">
      <c r="A87" s="1">
        <v>42979.627824074072</v>
      </c>
      <c r="B87">
        <v>902.21169999999995</v>
      </c>
      <c r="C87">
        <v>28</v>
      </c>
      <c r="D87" t="s">
        <v>35</v>
      </c>
      <c r="E87" t="s">
        <v>0</v>
      </c>
      <c r="F87" t="s">
        <v>1</v>
      </c>
      <c r="G87">
        <v>-0.81991360000000002</v>
      </c>
      <c r="H87">
        <v>1.6</v>
      </c>
      <c r="I87">
        <v>-4.1024539999999998</v>
      </c>
      <c r="J87">
        <v>7.388992</v>
      </c>
      <c r="K87">
        <v>5.3121390000000002</v>
      </c>
      <c r="L87">
        <v>354.44060000000002</v>
      </c>
    </row>
    <row r="88" spans="1:12" x14ac:dyDescent="0.2">
      <c r="A88" s="1">
        <v>42979.627986111111</v>
      </c>
      <c r="B88">
        <v>915.80169999999998</v>
      </c>
      <c r="C88">
        <v>28</v>
      </c>
      <c r="D88" t="s">
        <v>36</v>
      </c>
      <c r="E88" t="s">
        <v>0</v>
      </c>
      <c r="F88" t="s">
        <v>1</v>
      </c>
      <c r="G88">
        <v>2.4798260000000001</v>
      </c>
      <c r="H88">
        <v>1.6</v>
      </c>
      <c r="I88">
        <v>7.0620029999999998</v>
      </c>
      <c r="J88">
        <v>359.15390000000002</v>
      </c>
      <c r="K88">
        <v>294.16640000000001</v>
      </c>
      <c r="L88">
        <v>359.07249999999999</v>
      </c>
    </row>
    <row r="89" spans="1:12" x14ac:dyDescent="0.2">
      <c r="A89" s="1">
        <v>42979.627997685187</v>
      </c>
      <c r="B89">
        <v>917.00670000000002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1.6</v>
      </c>
      <c r="I89">
        <v>-1.4059999999999999</v>
      </c>
      <c r="J89">
        <v>358.9554</v>
      </c>
      <c r="K89">
        <v>293.1875</v>
      </c>
      <c r="L89">
        <v>359.18119999999999</v>
      </c>
    </row>
    <row r="90" spans="1:12" x14ac:dyDescent="0.2">
      <c r="A90" s="1">
        <v>42979.628078703703</v>
      </c>
      <c r="B90">
        <v>923.66809999999998</v>
      </c>
      <c r="C90">
        <v>29</v>
      </c>
      <c r="D90" t="s">
        <v>35</v>
      </c>
      <c r="E90" t="s">
        <v>33</v>
      </c>
      <c r="F90" t="s">
        <v>3</v>
      </c>
      <c r="G90">
        <v>-3.9809999999999999</v>
      </c>
      <c r="H90">
        <v>1.6</v>
      </c>
      <c r="I90">
        <v>-1.4059999999999999</v>
      </c>
      <c r="J90">
        <v>11.442729999999999</v>
      </c>
      <c r="K90">
        <v>14.297470000000001</v>
      </c>
      <c r="L90">
        <v>2.458828</v>
      </c>
    </row>
    <row r="91" spans="1:12" x14ac:dyDescent="0.2">
      <c r="A91" s="1">
        <v>42979.628206018519</v>
      </c>
      <c r="B91">
        <v>934.84879999999998</v>
      </c>
      <c r="C91">
        <v>29</v>
      </c>
      <c r="D91" t="s">
        <v>36</v>
      </c>
      <c r="E91" t="s">
        <v>33</v>
      </c>
      <c r="F91" t="s">
        <v>3</v>
      </c>
      <c r="G91">
        <v>3.889974</v>
      </c>
      <c r="H91">
        <v>1.6</v>
      </c>
      <c r="I91">
        <v>1.267339</v>
      </c>
      <c r="J91">
        <v>0.5632045</v>
      </c>
      <c r="K91">
        <v>334.31639999999999</v>
      </c>
      <c r="L91">
        <v>0.37899680000000002</v>
      </c>
    </row>
    <row r="92" spans="1:12" x14ac:dyDescent="0.2">
      <c r="A92" s="1">
        <v>42979.628240740742</v>
      </c>
      <c r="B92">
        <v>937.577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1.6</v>
      </c>
      <c r="I92">
        <v>0.09</v>
      </c>
      <c r="J92">
        <v>0.93519030000000003</v>
      </c>
      <c r="K92">
        <v>335.73079999999999</v>
      </c>
      <c r="L92">
        <v>359.08319999999998</v>
      </c>
    </row>
    <row r="93" spans="1:12" x14ac:dyDescent="0.2">
      <c r="A93" s="1">
        <v>42979.628321759257</v>
      </c>
      <c r="B93">
        <v>944.43889999999999</v>
      </c>
      <c r="C93">
        <v>30</v>
      </c>
      <c r="D93" t="s">
        <v>35</v>
      </c>
      <c r="E93" t="s">
        <v>6</v>
      </c>
      <c r="F93" t="s">
        <v>33</v>
      </c>
      <c r="G93">
        <v>-4.1100000000000003</v>
      </c>
      <c r="H93">
        <v>1.6</v>
      </c>
      <c r="I93">
        <v>0.09</v>
      </c>
      <c r="J93">
        <v>8.133108</v>
      </c>
      <c r="K93">
        <v>3.4149500000000002</v>
      </c>
      <c r="L93">
        <v>357.50540000000001</v>
      </c>
    </row>
    <row r="94" spans="1:12" x14ac:dyDescent="0.2">
      <c r="A94" s="1">
        <v>42979.62841435185</v>
      </c>
      <c r="B94">
        <v>953.02470000000005</v>
      </c>
      <c r="C94">
        <v>30</v>
      </c>
      <c r="D94" t="s">
        <v>36</v>
      </c>
      <c r="E94" t="s">
        <v>6</v>
      </c>
      <c r="F94" t="s">
        <v>33</v>
      </c>
      <c r="G94">
        <v>-5.4758440000000004</v>
      </c>
      <c r="H94">
        <v>1.6</v>
      </c>
      <c r="I94">
        <v>-4.0411270000000004</v>
      </c>
      <c r="J94">
        <v>7.3698170000000003</v>
      </c>
      <c r="K94">
        <v>103.6788</v>
      </c>
      <c r="L94">
        <v>357.40129999999999</v>
      </c>
    </row>
    <row r="95" spans="1:12" x14ac:dyDescent="0.2">
      <c r="A95" s="1">
        <v>42979.628425925926</v>
      </c>
      <c r="B95">
        <v>954.21299999999997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1.6</v>
      </c>
      <c r="I95">
        <v>-4.3440000000000003</v>
      </c>
      <c r="J95">
        <v>5.8303149999999997</v>
      </c>
      <c r="K95">
        <v>105.3451</v>
      </c>
      <c r="L95">
        <v>359.00869999999998</v>
      </c>
    </row>
    <row r="96" spans="1:12" x14ac:dyDescent="0.2">
      <c r="A96" s="1">
        <v>42979.628506944442</v>
      </c>
      <c r="B96">
        <v>960.47249999999997</v>
      </c>
      <c r="C96">
        <v>31</v>
      </c>
      <c r="D96" t="s">
        <v>35</v>
      </c>
      <c r="E96" t="s">
        <v>2</v>
      </c>
      <c r="F96" t="s">
        <v>0</v>
      </c>
      <c r="G96">
        <v>3.5248409999999999</v>
      </c>
      <c r="H96">
        <v>1.6</v>
      </c>
      <c r="I96">
        <v>-4.3052289999999998</v>
      </c>
      <c r="J96">
        <v>7.3492540000000002</v>
      </c>
      <c r="K96">
        <v>252.71789999999999</v>
      </c>
      <c r="L96">
        <v>0.4907724</v>
      </c>
    </row>
    <row r="97" spans="1:12" x14ac:dyDescent="0.2">
      <c r="A97" s="1">
        <v>42979.628599537034</v>
      </c>
      <c r="B97">
        <v>969.24260000000004</v>
      </c>
      <c r="C97">
        <v>31</v>
      </c>
      <c r="D97" t="s">
        <v>36</v>
      </c>
      <c r="E97" t="s">
        <v>2</v>
      </c>
      <c r="F97" t="s">
        <v>0</v>
      </c>
      <c r="G97">
        <v>-2.919651</v>
      </c>
      <c r="H97">
        <v>1.6</v>
      </c>
      <c r="I97">
        <v>-3.81366</v>
      </c>
      <c r="J97">
        <v>3.7575150000000002</v>
      </c>
      <c r="K97">
        <v>186.6694</v>
      </c>
      <c r="L97">
        <v>0.82329269999999999</v>
      </c>
    </row>
    <row r="98" spans="1:12" x14ac:dyDescent="0.2">
      <c r="A98" s="1">
        <v>42979.628634259258</v>
      </c>
      <c r="B98">
        <v>971.6191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1.6</v>
      </c>
      <c r="I98">
        <v>1.8169999999999999</v>
      </c>
      <c r="J98">
        <v>1.7787379999999999</v>
      </c>
      <c r="K98">
        <v>190.92679999999999</v>
      </c>
      <c r="L98">
        <v>358.8888</v>
      </c>
    </row>
    <row r="99" spans="1:12" x14ac:dyDescent="0.2">
      <c r="A99" s="1">
        <v>42979.628738425927</v>
      </c>
      <c r="B99">
        <v>981.02470000000005</v>
      </c>
      <c r="C99">
        <v>32</v>
      </c>
      <c r="D99" t="s">
        <v>35</v>
      </c>
      <c r="E99" t="s">
        <v>3</v>
      </c>
      <c r="F99" t="s">
        <v>4</v>
      </c>
      <c r="G99">
        <v>3.369856</v>
      </c>
      <c r="H99">
        <v>1.6</v>
      </c>
      <c r="I99">
        <v>1.820708</v>
      </c>
      <c r="J99">
        <v>8.6194769999999998</v>
      </c>
      <c r="K99">
        <v>130.72380000000001</v>
      </c>
      <c r="L99">
        <v>0.1845917</v>
      </c>
    </row>
    <row r="100" spans="1:12" x14ac:dyDescent="0.2">
      <c r="A100" s="1">
        <v>42979.628819444442</v>
      </c>
      <c r="B100">
        <v>987.93700000000001</v>
      </c>
      <c r="C100">
        <v>32</v>
      </c>
      <c r="D100" t="s">
        <v>36</v>
      </c>
      <c r="E100" t="s">
        <v>3</v>
      </c>
      <c r="F100" t="s">
        <v>4</v>
      </c>
      <c r="G100">
        <v>3.558487</v>
      </c>
      <c r="H100">
        <v>1.6</v>
      </c>
      <c r="I100">
        <v>-2.5002610000000001</v>
      </c>
      <c r="J100">
        <v>4.6241300000000001</v>
      </c>
      <c r="K100">
        <v>93.069929999999999</v>
      </c>
      <c r="L100">
        <v>357.76049999999998</v>
      </c>
    </row>
    <row r="101" spans="1:12" x14ac:dyDescent="0.2">
      <c r="A101" s="1">
        <v>42979.628842592596</v>
      </c>
      <c r="B101">
        <v>989.74440000000004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1.6</v>
      </c>
      <c r="I101">
        <v>0.09</v>
      </c>
      <c r="J101">
        <v>4.596393</v>
      </c>
      <c r="K101">
        <v>96.260689999999997</v>
      </c>
      <c r="L101">
        <v>358.55180000000001</v>
      </c>
    </row>
    <row r="102" spans="1:12" x14ac:dyDescent="0.2">
      <c r="A102" s="1">
        <v>42979.628969907404</v>
      </c>
      <c r="B102">
        <v>1001.254</v>
      </c>
      <c r="C102">
        <v>33</v>
      </c>
      <c r="D102" t="s">
        <v>35</v>
      </c>
      <c r="E102" t="s">
        <v>6</v>
      </c>
      <c r="F102" t="s">
        <v>33</v>
      </c>
      <c r="G102">
        <v>-4.0466480000000002</v>
      </c>
      <c r="H102">
        <v>1.6</v>
      </c>
      <c r="I102">
        <v>0.11045820000000001</v>
      </c>
      <c r="J102">
        <v>5.7500039999999997</v>
      </c>
      <c r="K102">
        <v>351.55549999999999</v>
      </c>
      <c r="L102">
        <v>357.05630000000002</v>
      </c>
    </row>
    <row r="103" spans="1:12" x14ac:dyDescent="0.2">
      <c r="A103" s="1">
        <v>42979.629050925927</v>
      </c>
      <c r="B103">
        <v>1007.547</v>
      </c>
      <c r="C103">
        <v>33</v>
      </c>
      <c r="D103" t="s">
        <v>36</v>
      </c>
      <c r="E103" t="s">
        <v>6</v>
      </c>
      <c r="F103" t="s">
        <v>33</v>
      </c>
      <c r="G103">
        <v>-4.8979910000000002</v>
      </c>
      <c r="H103">
        <v>1.6</v>
      </c>
      <c r="I103">
        <v>-3.4512350000000001</v>
      </c>
      <c r="J103">
        <v>3.9122400000000002</v>
      </c>
      <c r="K103">
        <v>102.14960000000001</v>
      </c>
      <c r="L103">
        <v>0.17786840000000001</v>
      </c>
    </row>
    <row r="104" spans="1:12" x14ac:dyDescent="0.2">
      <c r="A104" s="1">
        <v>42979.629062499997</v>
      </c>
      <c r="B104">
        <v>1009.404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1.6</v>
      </c>
      <c r="I104">
        <v>-0.67300000000000004</v>
      </c>
      <c r="J104">
        <v>3.8450519999999999</v>
      </c>
      <c r="K104">
        <v>100.7625</v>
      </c>
      <c r="L104">
        <v>359.3297</v>
      </c>
    </row>
    <row r="105" spans="1:12" x14ac:dyDescent="0.2">
      <c r="A105" s="1">
        <v>42979.629120370373</v>
      </c>
      <c r="B105">
        <v>1014.191</v>
      </c>
      <c r="C105">
        <v>34</v>
      </c>
      <c r="D105" t="s">
        <v>35</v>
      </c>
      <c r="E105" t="s">
        <v>4</v>
      </c>
      <c r="F105" t="s">
        <v>6</v>
      </c>
      <c r="G105">
        <v>3.9180000000000001</v>
      </c>
      <c r="H105">
        <v>1.6</v>
      </c>
      <c r="I105">
        <v>-0.67300000000000004</v>
      </c>
      <c r="J105">
        <v>11.57493</v>
      </c>
      <c r="K105">
        <v>193.34370000000001</v>
      </c>
      <c r="L105">
        <v>355.2473</v>
      </c>
    </row>
    <row r="106" spans="1:12" x14ac:dyDescent="0.2">
      <c r="A106" s="1">
        <v>42979.629224537035</v>
      </c>
      <c r="B106">
        <v>1022.944</v>
      </c>
      <c r="C106">
        <v>34</v>
      </c>
      <c r="D106" t="s">
        <v>36</v>
      </c>
      <c r="E106" t="s">
        <v>4</v>
      </c>
      <c r="F106" t="s">
        <v>6</v>
      </c>
      <c r="G106">
        <v>-3.2027969999999999</v>
      </c>
      <c r="H106">
        <v>1.6</v>
      </c>
      <c r="I106">
        <v>2.980855</v>
      </c>
      <c r="J106">
        <v>0.48925020000000002</v>
      </c>
      <c r="K106">
        <v>205.99520000000001</v>
      </c>
      <c r="L106">
        <v>359.00310000000002</v>
      </c>
    </row>
    <row r="107" spans="1:12" x14ac:dyDescent="0.2">
      <c r="A107" s="1">
        <v>42979.629236111112</v>
      </c>
      <c r="B107">
        <v>1023.974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1.6</v>
      </c>
      <c r="I107">
        <v>2.7240000000000002</v>
      </c>
      <c r="J107">
        <v>359.41329999999999</v>
      </c>
      <c r="K107">
        <v>207.1859</v>
      </c>
      <c r="L107">
        <v>358.2928</v>
      </c>
    </row>
    <row r="108" spans="1:12" x14ac:dyDescent="0.2">
      <c r="A108" s="1">
        <v>42979.629305555558</v>
      </c>
      <c r="B108">
        <v>1030.174</v>
      </c>
      <c r="C108">
        <v>35</v>
      </c>
      <c r="D108" t="s">
        <v>35</v>
      </c>
      <c r="E108" t="s">
        <v>5</v>
      </c>
      <c r="F108" t="s">
        <v>2</v>
      </c>
      <c r="G108">
        <v>4.3447430000000002E-2</v>
      </c>
      <c r="H108">
        <v>1.6</v>
      </c>
      <c r="I108">
        <v>2.7011129999999999</v>
      </c>
      <c r="J108">
        <v>7.5141989999999996</v>
      </c>
      <c r="K108">
        <v>59.76979</v>
      </c>
      <c r="L108">
        <v>354.92439999999999</v>
      </c>
    </row>
    <row r="109" spans="1:12" x14ac:dyDescent="0.2">
      <c r="A109" s="1">
        <v>42979.629421296297</v>
      </c>
      <c r="B109">
        <v>1040.4159999999999</v>
      </c>
      <c r="C109">
        <v>35</v>
      </c>
      <c r="D109" t="s">
        <v>36</v>
      </c>
      <c r="E109" t="s">
        <v>5</v>
      </c>
      <c r="F109" t="s">
        <v>2</v>
      </c>
      <c r="G109">
        <v>0.48716229999999999</v>
      </c>
      <c r="H109">
        <v>1.6</v>
      </c>
      <c r="I109">
        <v>-6.8351889999999997</v>
      </c>
      <c r="J109">
        <v>1.6814359999999999</v>
      </c>
      <c r="K109">
        <v>85.252719999999997</v>
      </c>
      <c r="L109">
        <v>358.63380000000001</v>
      </c>
    </row>
    <row r="110" spans="1:12" x14ac:dyDescent="0.2">
      <c r="A110" s="1">
        <v>42979.629444444443</v>
      </c>
      <c r="B110">
        <v>1042.307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1.6</v>
      </c>
      <c r="I110">
        <v>1.8169999999999999</v>
      </c>
      <c r="J110">
        <v>1.8949370000000001</v>
      </c>
      <c r="K110">
        <v>84.489059999999995</v>
      </c>
      <c r="L110">
        <v>359.60930000000002</v>
      </c>
    </row>
    <row r="111" spans="1:12" x14ac:dyDescent="0.2">
      <c r="A111" s="1">
        <v>42979.629583333335</v>
      </c>
      <c r="B111">
        <v>1054.1410000000001</v>
      </c>
      <c r="C111">
        <v>36</v>
      </c>
      <c r="D111" t="s">
        <v>35</v>
      </c>
      <c r="E111" t="s">
        <v>3</v>
      </c>
      <c r="F111" t="s">
        <v>4</v>
      </c>
      <c r="G111">
        <v>3.375969</v>
      </c>
      <c r="H111">
        <v>1.6</v>
      </c>
      <c r="I111">
        <v>1.8515600000000001</v>
      </c>
      <c r="J111">
        <v>3.9242080000000001</v>
      </c>
      <c r="K111">
        <v>135.84399999999999</v>
      </c>
      <c r="L111">
        <v>359.1155</v>
      </c>
    </row>
    <row r="112" spans="1:12" x14ac:dyDescent="0.2">
      <c r="A112" s="1">
        <v>42979.629664351851</v>
      </c>
      <c r="B112">
        <v>1060.7339999999999</v>
      </c>
      <c r="C112">
        <v>36</v>
      </c>
      <c r="D112" t="s">
        <v>36</v>
      </c>
      <c r="E112" t="s">
        <v>3</v>
      </c>
      <c r="F112" t="s">
        <v>4</v>
      </c>
      <c r="G112">
        <v>2.659897</v>
      </c>
      <c r="H112">
        <v>1.6</v>
      </c>
      <c r="I112">
        <v>-2.2097509999999998</v>
      </c>
      <c r="J112">
        <v>1.6039859999999999</v>
      </c>
      <c r="K112">
        <v>98.196680000000001</v>
      </c>
      <c r="L112">
        <v>359.37049999999999</v>
      </c>
    </row>
    <row r="113" spans="1:12" x14ac:dyDescent="0.2">
      <c r="A113" s="1">
        <v>42979.629675925928</v>
      </c>
      <c r="B113">
        <v>1061.8050000000001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1.6</v>
      </c>
      <c r="I113">
        <v>0.09</v>
      </c>
      <c r="J113">
        <v>1.854981</v>
      </c>
      <c r="K113">
        <v>100.9195</v>
      </c>
      <c r="L113">
        <v>359.77699999999999</v>
      </c>
    </row>
    <row r="114" spans="1:12" x14ac:dyDescent="0.2">
      <c r="A114" s="1">
        <v>42979.629733796297</v>
      </c>
      <c r="B114">
        <v>1066.759</v>
      </c>
      <c r="C114">
        <v>37</v>
      </c>
      <c r="D114" t="s">
        <v>35</v>
      </c>
      <c r="E114" t="s">
        <v>6</v>
      </c>
      <c r="F114" t="s">
        <v>33</v>
      </c>
      <c r="G114">
        <v>-4.1100000000000003</v>
      </c>
      <c r="H114">
        <v>1.6</v>
      </c>
      <c r="I114">
        <v>0.09</v>
      </c>
      <c r="J114">
        <v>7.1996799999999999</v>
      </c>
      <c r="K114">
        <v>330.71429999999998</v>
      </c>
      <c r="L114">
        <v>358.6413</v>
      </c>
    </row>
    <row r="115" spans="1:12" x14ac:dyDescent="0.2">
      <c r="A115" s="1">
        <v>42979.629791666666</v>
      </c>
      <c r="B115">
        <v>1072.098</v>
      </c>
      <c r="C115">
        <v>37</v>
      </c>
      <c r="D115" t="s">
        <v>36</v>
      </c>
      <c r="E115" t="s">
        <v>6</v>
      </c>
      <c r="F115" t="s">
        <v>33</v>
      </c>
      <c r="G115">
        <v>-5.1200960000000002</v>
      </c>
      <c r="H115">
        <v>1.6</v>
      </c>
      <c r="I115">
        <v>-3.248707</v>
      </c>
      <c r="J115">
        <v>2.0055499999999999</v>
      </c>
      <c r="K115">
        <v>104.06829999999999</v>
      </c>
      <c r="L115">
        <v>2.7135570000000001E-2</v>
      </c>
    </row>
    <row r="116" spans="1:12" x14ac:dyDescent="0.2">
      <c r="A116" s="1">
        <v>42979.629814814813</v>
      </c>
      <c r="B116">
        <v>1074.0889999999999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1.6</v>
      </c>
      <c r="I116">
        <v>-4.3440000000000003</v>
      </c>
      <c r="J116">
        <v>3.6668970000000001</v>
      </c>
      <c r="K116">
        <v>104.5244</v>
      </c>
      <c r="L116">
        <v>358.81790000000001</v>
      </c>
    </row>
    <row r="117" spans="1:12" x14ac:dyDescent="0.2">
      <c r="A117" s="1">
        <v>42979.629884259259</v>
      </c>
      <c r="B117">
        <v>1079.663</v>
      </c>
      <c r="C117">
        <v>38</v>
      </c>
      <c r="D117" t="s">
        <v>35</v>
      </c>
      <c r="E117" t="s">
        <v>2</v>
      </c>
      <c r="F117" t="s">
        <v>0</v>
      </c>
      <c r="G117">
        <v>3.4786990000000002</v>
      </c>
      <c r="H117">
        <v>1.6</v>
      </c>
      <c r="I117">
        <v>-4.329618</v>
      </c>
      <c r="J117">
        <v>4.8754150000000003</v>
      </c>
      <c r="K117">
        <v>188.7353</v>
      </c>
      <c r="L117">
        <v>0.30766159999999998</v>
      </c>
    </row>
    <row r="118" spans="1:12" x14ac:dyDescent="0.2">
      <c r="A118" s="1">
        <v>42979.629942129628</v>
      </c>
      <c r="B118">
        <v>1085.336</v>
      </c>
      <c r="C118">
        <v>38</v>
      </c>
      <c r="D118" t="s">
        <v>36</v>
      </c>
      <c r="E118" t="s">
        <v>2</v>
      </c>
      <c r="F118" t="s">
        <v>0</v>
      </c>
      <c r="G118">
        <v>-1.543517</v>
      </c>
      <c r="H118">
        <v>1.6</v>
      </c>
      <c r="I118">
        <v>-4.0439020000000001</v>
      </c>
      <c r="J118">
        <v>2.2082030000000001</v>
      </c>
      <c r="K118">
        <v>188.84630000000001</v>
      </c>
      <c r="L118">
        <v>358.70229999999998</v>
      </c>
    </row>
    <row r="119" spans="1:12" x14ac:dyDescent="0.2">
      <c r="A119" s="1">
        <v>42979.629965277774</v>
      </c>
      <c r="B119">
        <v>1086.7919999999999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1.6</v>
      </c>
      <c r="I119">
        <v>4.1399999999999997</v>
      </c>
      <c r="J119">
        <v>0.95201990000000003</v>
      </c>
      <c r="K119">
        <v>193.74549999999999</v>
      </c>
      <c r="L119">
        <v>358.7629</v>
      </c>
    </row>
    <row r="120" spans="1:12" x14ac:dyDescent="0.2">
      <c r="A120" s="1">
        <v>42979.63003472222</v>
      </c>
      <c r="B120">
        <v>1092.5329999999999</v>
      </c>
      <c r="C120">
        <v>39</v>
      </c>
      <c r="D120" t="s">
        <v>35</v>
      </c>
      <c r="E120" t="s">
        <v>1</v>
      </c>
      <c r="F120" t="s">
        <v>5</v>
      </c>
      <c r="G120">
        <v>-4.0916090000000001</v>
      </c>
      <c r="H120">
        <v>1.6</v>
      </c>
      <c r="I120">
        <v>4.1729560000000001</v>
      </c>
      <c r="J120">
        <v>4.9901299999999997</v>
      </c>
      <c r="K120">
        <v>20.56193</v>
      </c>
      <c r="L120">
        <v>355.69459999999998</v>
      </c>
    </row>
    <row r="121" spans="1:12" x14ac:dyDescent="0.2">
      <c r="A121" s="1">
        <v>42979.63013888889</v>
      </c>
      <c r="B121">
        <v>1101.5530000000001</v>
      </c>
      <c r="C121">
        <v>39</v>
      </c>
      <c r="D121" t="s">
        <v>36</v>
      </c>
      <c r="E121" t="s">
        <v>1</v>
      </c>
      <c r="F121" t="s">
        <v>5</v>
      </c>
      <c r="G121">
        <v>3.3453580000000001</v>
      </c>
      <c r="H121">
        <v>1.6</v>
      </c>
      <c r="I121">
        <v>1.3909959999999999</v>
      </c>
      <c r="J121">
        <v>0.29787019999999997</v>
      </c>
      <c r="K121">
        <v>20.190339999999999</v>
      </c>
      <c r="L121">
        <v>357.7414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(40)'!$C$2:$L$246,3,0)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(40)'!$C$2:$L$246,5,1)</f>
        <v>0.78991429999999996</v>
      </c>
      <c r="G2" s="3">
        <f>VLOOKUP($A2,'Summary Data (40)'!$C$2:$L$246,6,1)</f>
        <v>1.6</v>
      </c>
      <c r="H2" s="3">
        <f>VLOOKUP($A2,'Summary Data (40)'!$C$2:$L$246,7,1)</f>
        <v>8.709282</v>
      </c>
      <c r="I2" s="3" t="str">
        <f>VLOOKUP($A2,'Summary Data (40)'!$C$2:$L$246,4,0)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12.930693285932835</v>
      </c>
      <c r="N2" s="3">
        <f t="shared" ref="N2:N41" si="1">ABS(SQRT((F2-C2)^2+(H2-E2)^2))</f>
        <v>13.334905857008083</v>
      </c>
      <c r="O2" s="3">
        <f t="shared" ref="O2:O41" si="2">ABS(SQRT((J2-C2)^2+(L2-E2)^2))</f>
        <v>4.3718971854333439</v>
      </c>
      <c r="P2" s="3">
        <f t="shared" ref="P2:P41" si="3">(N2-O2)</f>
        <v>8.9630086715747392</v>
      </c>
      <c r="Q2" s="5">
        <f t="shared" ref="Q2:Q41" si="4">P2/O2</f>
        <v>2.0501416871006133</v>
      </c>
      <c r="R2" s="3">
        <f t="shared" ref="R2:R41" si="5">ATAN2(J2-C2,L2-E2)*180/PI()</f>
        <v>177.02371934116897</v>
      </c>
      <c r="S2" s="3">
        <f t="shared" ref="S2:S41" si="6">ATAN2(F2-C2,H2-E2)*180/PI()</f>
        <v>101.79626944533611</v>
      </c>
      <c r="T2" s="3">
        <f t="shared" ref="T2:T41" si="7">IF(ABS(R2-S2)&gt;180,360-ABS(R2-S2),ABS(R2-S2))</f>
        <v>75.227449895832862</v>
      </c>
      <c r="U2" s="3">
        <f>VLOOKUP($A2,'Summary Data (40)'!$C$2:$N$246,11,0)</f>
        <v>0</v>
      </c>
      <c r="V2" s="3">
        <f>VLOOKUP($A2,'Summary Data (40)'!$C$2:$N$246,12,1)</f>
        <v>0</v>
      </c>
      <c r="W2" s="3">
        <f>VLOOKUP($A2,'Summary Data (40)'!$C$2:$N$246,11,1)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(40)'!$C$2:$L$246,3,0)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(40)'!$C$2:$L$246,5,1)</f>
        <v>-2.427155</v>
      </c>
      <c r="G3" s="3">
        <f>VLOOKUP($A3,'Summary Data (40)'!$C$2:$L$246,6,1)</f>
        <v>1.6</v>
      </c>
      <c r="H3" s="3">
        <f>VLOOKUP($A3,'Summary Data (40)'!$C$2:$L$246,7,1)</f>
        <v>-2.7360829999999998</v>
      </c>
      <c r="I3" s="3" t="str">
        <f>VLOOKUP($A3,'Summary Data (40)'!$C$2:$L$246,4,0)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6.1568245413454816</v>
      </c>
      <c r="N3" s="3">
        <f t="shared" si="1"/>
        <v>5.9817650171930028</v>
      </c>
      <c r="O3" s="3">
        <f t="shared" si="2"/>
        <v>7.8871175977032326</v>
      </c>
      <c r="P3" s="3">
        <f t="shared" si="3"/>
        <v>-1.9053525805102298</v>
      </c>
      <c r="Q3" s="5">
        <f t="shared" si="4"/>
        <v>-0.24157780797703307</v>
      </c>
      <c r="R3" s="3">
        <f t="shared" si="5"/>
        <v>-63.65586590726528</v>
      </c>
      <c r="S3" s="3">
        <f t="shared" si="6"/>
        <v>-114.10648629764414</v>
      </c>
      <c r="T3" s="3">
        <f t="shared" si="7"/>
        <v>50.450620390378859</v>
      </c>
      <c r="U3" s="3">
        <f>VLOOKUP($A3,'Summary Data (40)'!$C$2:$N$246,11,0)</f>
        <v>0</v>
      </c>
      <c r="V3" s="3">
        <f>VLOOKUP($A3,'Summary Data (40)'!$C$2:$N$246,12,1)</f>
        <v>0</v>
      </c>
      <c r="W3" s="3">
        <f>VLOOKUP($A3,'Summary Data (40)'!$C$2:$N$246,11,1)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(40)'!$C$2:$L$246,3,0)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(40)'!$C$2:$L$246,5,1)</f>
        <v>3.4803649999999999</v>
      </c>
      <c r="G4" s="3">
        <f>VLOOKUP($A4,'Summary Data (40)'!$C$2:$L$246,6,1)</f>
        <v>1.6</v>
      </c>
      <c r="H4" s="3">
        <f>VLOOKUP($A4,'Summary Data (40)'!$C$2:$L$246,7,1)</f>
        <v>-2.7996629999999998</v>
      </c>
      <c r="I4" s="3" t="str">
        <f>VLOOKUP($A4,'Summary Data (40)'!$C$2:$L$246,4,0)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4.617911270130036</v>
      </c>
      <c r="N4" s="3">
        <f t="shared" si="1"/>
        <v>7.5904060642889188</v>
      </c>
      <c r="O4" s="3">
        <f t="shared" si="2"/>
        <v>8.0292617967033557</v>
      </c>
      <c r="P4" s="3">
        <f t="shared" si="3"/>
        <v>-0.43885573241443687</v>
      </c>
      <c r="Q4" s="5">
        <f t="shared" si="4"/>
        <v>-5.4657046130270871E-2</v>
      </c>
      <c r="R4" s="3">
        <f t="shared" si="5"/>
        <v>23.666151625811782</v>
      </c>
      <c r="S4" s="3">
        <f t="shared" si="6"/>
        <v>-10.580015171105901</v>
      </c>
      <c r="T4" s="3">
        <f t="shared" si="7"/>
        <v>34.246166796917684</v>
      </c>
      <c r="U4" s="3">
        <f>VLOOKUP($A4,'Summary Data (40)'!$C$2:$N$246,11,0)</f>
        <v>0</v>
      </c>
      <c r="V4" s="3">
        <f>VLOOKUP($A4,'Summary Data (40)'!$C$2:$N$246,12,1)</f>
        <v>0</v>
      </c>
      <c r="W4" s="3">
        <f>VLOOKUP($A4,'Summary Data (40)'!$C$2:$N$246,11,1)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(40)'!$C$2:$L$246,3,0)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(40)'!$C$2:$L$246,5,1)</f>
        <v>2.0017290000000001</v>
      </c>
      <c r="G5" s="3">
        <f>VLOOKUP($A5,'Summary Data (40)'!$C$2:$L$246,6,1)</f>
        <v>1.6</v>
      </c>
      <c r="H5" s="3">
        <f>VLOOKUP($A5,'Summary Data (40)'!$C$2:$L$246,7,1)</f>
        <v>1.3509679999999999</v>
      </c>
      <c r="I5" s="3" t="str">
        <f>VLOOKUP($A5,'Summary Data (40)'!$C$2:$L$246,4,0)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6.6898404068008226</v>
      </c>
      <c r="N5" s="3">
        <f t="shared" si="1"/>
        <v>6.1669305443198397</v>
      </c>
      <c r="O5" s="3">
        <f t="shared" si="2"/>
        <v>8.8659173242253964</v>
      </c>
      <c r="P5" s="3">
        <f t="shared" si="3"/>
        <v>-2.6989867799055567</v>
      </c>
      <c r="Q5" s="5">
        <f t="shared" si="4"/>
        <v>-0.30442273271946663</v>
      </c>
      <c r="R5" s="3">
        <f t="shared" si="5"/>
        <v>111.35858600069317</v>
      </c>
      <c r="S5" s="3">
        <f t="shared" si="6"/>
        <v>62.456445839527923</v>
      </c>
      <c r="T5" s="3">
        <f t="shared" si="7"/>
        <v>48.902140161165242</v>
      </c>
      <c r="U5" s="3">
        <f>VLOOKUP($A5,'Summary Data (40)'!$C$2:$N$246,11,0)</f>
        <v>0</v>
      </c>
      <c r="V5" s="3">
        <f>VLOOKUP($A5,'Summary Data (40)'!$C$2:$N$246,12,1)</f>
        <v>0</v>
      </c>
      <c r="W5" s="3">
        <f>VLOOKUP($A5,'Summary Data (40)'!$C$2:$N$246,11,1)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(40)'!$C$2:$L$246,3,0)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(40)'!$C$2:$L$246,5,1)</f>
        <v>-4.1793300000000002</v>
      </c>
      <c r="G6" s="3">
        <f>VLOOKUP($A6,'Summary Data (40)'!$C$2:$L$246,6,1)</f>
        <v>1.6</v>
      </c>
      <c r="H6" s="3">
        <f>VLOOKUP($A6,'Summary Data (40)'!$C$2:$L$246,7,1)</f>
        <v>6.7149669999999997</v>
      </c>
      <c r="I6" s="3" t="str">
        <f>VLOOKUP($A6,'Summary Data (40)'!$C$2:$L$246,4,0)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10.961241240023366</v>
      </c>
      <c r="N6" s="3">
        <f t="shared" si="1"/>
        <v>9.0015425990209597</v>
      </c>
      <c r="O6" s="3">
        <f t="shared" si="2"/>
        <v>2.5489458605470614</v>
      </c>
      <c r="P6" s="3">
        <f t="shared" si="3"/>
        <v>6.4525967384738987</v>
      </c>
      <c r="Q6" s="5">
        <f t="shared" si="4"/>
        <v>2.5314765756103683</v>
      </c>
      <c r="R6" s="3">
        <f t="shared" si="5"/>
        <v>-77.654050540796021</v>
      </c>
      <c r="S6" s="3">
        <f t="shared" si="6"/>
        <v>147.03509056609852</v>
      </c>
      <c r="T6" s="3">
        <f t="shared" si="7"/>
        <v>135.31085889310546</v>
      </c>
      <c r="U6" s="3">
        <f>VLOOKUP($A6,'Summary Data (40)'!$C$2:$N$246,11,0)</f>
        <v>0</v>
      </c>
      <c r="V6" s="3">
        <f>VLOOKUP($A6,'Summary Data (40)'!$C$2:$N$246,12,1)</f>
        <v>0</v>
      </c>
      <c r="W6" s="3">
        <f>VLOOKUP($A6,'Summary Data (40)'!$C$2:$N$246,11,1)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(40)'!$C$2:$L$246,3,0)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(40)'!$C$2:$L$246,5,1)</f>
        <v>2.4028649999999998</v>
      </c>
      <c r="G7" s="3">
        <f>VLOOKUP($A7,'Summary Data (40)'!$C$2:$L$246,6,1)</f>
        <v>1.6</v>
      </c>
      <c r="H7" s="3">
        <f>VLOOKUP($A7,'Summary Data (40)'!$C$2:$L$246,7,1)</f>
        <v>5.8168439999999997</v>
      </c>
      <c r="I7" s="3" t="str">
        <f>VLOOKUP($A7,'Summary Data (40)'!$C$2:$L$246,4,0)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10.452865029481679</v>
      </c>
      <c r="N7" s="3">
        <f t="shared" si="1"/>
        <v>10.221634914266945</v>
      </c>
      <c r="O7" s="3">
        <f t="shared" si="2"/>
        <v>4.3718971854333439</v>
      </c>
      <c r="P7" s="3">
        <f t="shared" si="3"/>
        <v>5.8497377288336008</v>
      </c>
      <c r="Q7" s="5">
        <f t="shared" si="4"/>
        <v>1.3380318613905768</v>
      </c>
      <c r="R7" s="3">
        <f t="shared" si="5"/>
        <v>177.02371934116897</v>
      </c>
      <c r="S7" s="3">
        <f t="shared" si="6"/>
        <v>96.251903406136961</v>
      </c>
      <c r="T7" s="3">
        <f t="shared" si="7"/>
        <v>80.771815935032009</v>
      </c>
      <c r="U7" s="3">
        <f>VLOOKUP($A7,'Summary Data (40)'!$C$2:$N$246,11,0)</f>
        <v>0</v>
      </c>
      <c r="V7" s="3">
        <f>VLOOKUP($A7,'Summary Data (40)'!$C$2:$N$246,12,1)</f>
        <v>0</v>
      </c>
      <c r="W7" s="3">
        <f>VLOOKUP($A7,'Summary Data (40)'!$C$2:$N$246,11,1)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(40)'!$C$2:$L$246,3,0)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(40)'!$C$2:$L$246,5,1)</f>
        <v>5.1975619999999996</v>
      </c>
      <c r="G8" s="3">
        <f>VLOOKUP($A8,'Summary Data (40)'!$C$2:$L$246,6,1)</f>
        <v>1.6</v>
      </c>
      <c r="H8" s="3">
        <f>VLOOKUP($A8,'Summary Data (40)'!$C$2:$L$246,7,1)</f>
        <v>3.9229799999999999</v>
      </c>
      <c r="I8" s="3" t="str">
        <f>VLOOKUP($A8,'Summary Data (40)'!$C$2:$L$246,4,0)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10.613389101895963</v>
      </c>
      <c r="N8" s="3">
        <f t="shared" si="1"/>
        <v>10.065905128911361</v>
      </c>
      <c r="O8" s="3">
        <f t="shared" si="2"/>
        <v>1.5015515309172709</v>
      </c>
      <c r="P8" s="3">
        <f t="shared" si="3"/>
        <v>8.5643535979940904</v>
      </c>
      <c r="Q8" s="5">
        <f t="shared" si="4"/>
        <v>5.7036694523312699</v>
      </c>
      <c r="R8" s="3">
        <f t="shared" si="5"/>
        <v>-85.071579131103505</v>
      </c>
      <c r="S8" s="3">
        <f t="shared" si="6"/>
        <v>22.382527079377649</v>
      </c>
      <c r="T8" s="3">
        <f t="shared" si="7"/>
        <v>107.45410621048116</v>
      </c>
      <c r="U8" s="3">
        <f>VLOOKUP($A8,'Summary Data (40)'!$C$2:$N$246,11,0)</f>
        <v>0</v>
      </c>
      <c r="V8" s="3">
        <f>VLOOKUP($A8,'Summary Data (40)'!$C$2:$N$246,12,1)</f>
        <v>0</v>
      </c>
      <c r="W8" s="3">
        <f>VLOOKUP($A8,'Summary Data (40)'!$C$2:$N$246,11,1)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(40)'!$C$2:$L$246,3,0)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(40)'!$C$2:$L$246,5,1)</f>
        <v>4.6819290000000002</v>
      </c>
      <c r="G9" s="3">
        <f>VLOOKUP($A9,'Summary Data (40)'!$C$2:$L$246,6,1)</f>
        <v>1.6</v>
      </c>
      <c r="H9" s="3">
        <f>VLOOKUP($A9,'Summary Data (40)'!$C$2:$L$246,7,1)</f>
        <v>1.673365</v>
      </c>
      <c r="I9" s="3" t="str">
        <f>VLOOKUP($A9,'Summary Data (40)'!$C$2:$L$246,4,0)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9.1015474050441565</v>
      </c>
      <c r="N9" s="3">
        <f t="shared" si="1"/>
        <v>8.0081561731940507</v>
      </c>
      <c r="O9" s="3">
        <f t="shared" si="2"/>
        <v>8.8659173242253964</v>
      </c>
      <c r="P9" s="3">
        <f t="shared" si="3"/>
        <v>-0.85776115103134565</v>
      </c>
      <c r="Q9" s="5">
        <f t="shared" si="4"/>
        <v>-9.6748155849320089E-2</v>
      </c>
      <c r="R9" s="3">
        <f t="shared" si="5"/>
        <v>111.35858600069317</v>
      </c>
      <c r="S9" s="3">
        <f t="shared" si="6"/>
        <v>46.307572595098577</v>
      </c>
      <c r="T9" s="3">
        <f t="shared" si="7"/>
        <v>65.051013405594588</v>
      </c>
      <c r="U9" s="3">
        <f>VLOOKUP($A9,'Summary Data (40)'!$C$2:$N$246,11,0)</f>
        <v>0</v>
      </c>
      <c r="V9" s="3">
        <f>VLOOKUP($A9,'Summary Data (40)'!$C$2:$N$246,12,1)</f>
        <v>0</v>
      </c>
      <c r="W9" s="3">
        <f>VLOOKUP($A9,'Summary Data (40)'!$C$2:$N$246,11,1)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(40)'!$C$2:$L$246,3,0)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(40)'!$C$2:$L$246,5,1)</f>
        <v>-2.9518650000000002</v>
      </c>
      <c r="G10" s="3">
        <f>VLOOKUP($A10,'Summary Data (40)'!$C$2:$L$246,6,1)</f>
        <v>1.6</v>
      </c>
      <c r="H10" s="3">
        <f>VLOOKUP($A10,'Summary Data (40)'!$C$2:$L$246,7,1)</f>
        <v>-2.246534</v>
      </c>
      <c r="I10" s="3" t="str">
        <f>VLOOKUP($A10,'Summary Data (40)'!$C$2:$L$246,4,0)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6.799458896072613</v>
      </c>
      <c r="N10" s="3">
        <f t="shared" si="1"/>
        <v>5.7891649573475625</v>
      </c>
      <c r="O10" s="3">
        <f t="shared" si="2"/>
        <v>7.8871175977032326</v>
      </c>
      <c r="P10" s="3">
        <f t="shared" si="3"/>
        <v>-2.0979526403556701</v>
      </c>
      <c r="Q10" s="5">
        <f t="shared" si="4"/>
        <v>-0.26599738299408698</v>
      </c>
      <c r="R10" s="3">
        <f t="shared" si="5"/>
        <v>-63.65586590726528</v>
      </c>
      <c r="S10" s="3">
        <f t="shared" si="6"/>
        <v>-120.84107824620573</v>
      </c>
      <c r="T10" s="3">
        <f t="shared" si="7"/>
        <v>57.185212338940445</v>
      </c>
      <c r="U10" s="3">
        <f>VLOOKUP($A10,'Summary Data (40)'!$C$2:$N$246,11,0)</f>
        <v>0</v>
      </c>
      <c r="V10" s="3">
        <f>VLOOKUP($A10,'Summary Data (40)'!$C$2:$N$246,12,1)</f>
        <v>0</v>
      </c>
      <c r="W10" s="3">
        <f>VLOOKUP($A10,'Summary Data (40)'!$C$2:$N$246,11,1)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(40)'!$C$2:$L$246,3,0)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(40)'!$C$2:$L$246,5,1)</f>
        <v>4.1861490000000003</v>
      </c>
      <c r="G11" s="3">
        <f>VLOOKUP($A11,'Summary Data (40)'!$C$2:$L$246,6,1)</f>
        <v>1.6</v>
      </c>
      <c r="H11" s="3">
        <f>VLOOKUP($A11,'Summary Data (40)'!$C$2:$L$246,7,1)</f>
        <v>4.614395</v>
      </c>
      <c r="I11" s="3" t="str">
        <f>VLOOKUP($A11,'Summary Data (40)'!$C$2:$L$246,4,0)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10.146303698600097</v>
      </c>
      <c r="N11" s="3">
        <f t="shared" si="1"/>
        <v>9.449668689759763</v>
      </c>
      <c r="O11" s="3">
        <f t="shared" si="2"/>
        <v>1.5015515309172709</v>
      </c>
      <c r="P11" s="3">
        <f t="shared" si="3"/>
        <v>7.9481171588424919</v>
      </c>
      <c r="Q11" s="5">
        <f t="shared" si="4"/>
        <v>5.2932696582095522</v>
      </c>
      <c r="R11" s="3">
        <f t="shared" si="5"/>
        <v>-85.071579131103505</v>
      </c>
      <c r="S11" s="3">
        <f t="shared" si="6"/>
        <v>28.606322799128165</v>
      </c>
      <c r="T11" s="3">
        <f t="shared" si="7"/>
        <v>113.67790193023167</v>
      </c>
      <c r="U11" s="3">
        <f>VLOOKUP($A11,'Summary Data (40)'!$C$2:$N$246,11,0)</f>
        <v>0</v>
      </c>
      <c r="V11" s="3">
        <f>VLOOKUP($A11,'Summary Data (40)'!$C$2:$N$246,12,1)</f>
        <v>0</v>
      </c>
      <c r="W11" s="3">
        <f>VLOOKUP($A11,'Summary Data (40)'!$C$2:$N$246,11,1)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(40)'!$C$2:$L$246,3,0)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(40)'!$C$2:$L$246,5,1)</f>
        <v>-1.2263649999999999</v>
      </c>
      <c r="G12" s="3">
        <f>VLOOKUP($A12,'Summary Data (40)'!$C$2:$L$246,6,1)</f>
        <v>1.6</v>
      </c>
      <c r="H12" s="3">
        <f>VLOOKUP($A12,'Summary Data (40)'!$C$2:$L$246,7,1)</f>
        <v>-6.7412020000000004</v>
      </c>
      <c r="I12" s="3" t="str">
        <f>VLOOKUP($A12,'Summary Data (40)'!$C$2:$L$246,4,0)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9.5463877825085763</v>
      </c>
      <c r="N12" s="3">
        <f t="shared" si="1"/>
        <v>11.24891476579092</v>
      </c>
      <c r="O12" s="3">
        <f t="shared" si="2"/>
        <v>4.3329067610554466</v>
      </c>
      <c r="P12" s="3">
        <f t="shared" si="3"/>
        <v>6.9160080047354731</v>
      </c>
      <c r="Q12" s="5">
        <f t="shared" si="4"/>
        <v>1.596158972747157</v>
      </c>
      <c r="R12" s="3">
        <f t="shared" si="5"/>
        <v>-19.074748100261683</v>
      </c>
      <c r="S12" s="3">
        <f t="shared" si="6"/>
        <v>-75.309828361968655</v>
      </c>
      <c r="T12" s="3">
        <f t="shared" si="7"/>
        <v>56.235080261706969</v>
      </c>
      <c r="U12" s="3">
        <f>VLOOKUP($A12,'Summary Data (40)'!$C$2:$N$246,11,0)</f>
        <v>0</v>
      </c>
      <c r="V12" s="3">
        <f>VLOOKUP($A12,'Summary Data (40)'!$C$2:$N$246,12,1)</f>
        <v>0</v>
      </c>
      <c r="W12" s="3">
        <f>VLOOKUP($A12,'Summary Data (40)'!$C$2:$N$246,11,1)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(40)'!$C$2:$L$246,3,0)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(40)'!$C$2:$L$246,5,1)</f>
        <v>-2.4663379999999999</v>
      </c>
      <c r="G13" s="3">
        <f>VLOOKUP($A13,'Summary Data (40)'!$C$2:$L$246,6,1)</f>
        <v>1.6</v>
      </c>
      <c r="H13" s="3">
        <f>VLOOKUP($A13,'Summary Data (40)'!$C$2:$L$246,7,1)</f>
        <v>7.4980529999999996</v>
      </c>
      <c r="I13" s="3" t="str">
        <f>VLOOKUP($A13,'Summary Data (40)'!$C$2:$L$246,4,0)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11.726977646565759</v>
      </c>
      <c r="N13" s="3">
        <f t="shared" si="1"/>
        <v>13.267350421280543</v>
      </c>
      <c r="O13" s="3">
        <f t="shared" si="2"/>
        <v>4.3718971854333439</v>
      </c>
      <c r="P13" s="3">
        <f t="shared" si="3"/>
        <v>8.8954532358471994</v>
      </c>
      <c r="Q13" s="5">
        <f t="shared" si="4"/>
        <v>2.0346894857193396</v>
      </c>
      <c r="R13" s="3">
        <f t="shared" si="5"/>
        <v>177.02371934116897</v>
      </c>
      <c r="S13" s="3">
        <f t="shared" si="6"/>
        <v>116.80187566335672</v>
      </c>
      <c r="T13" s="3">
        <f t="shared" si="7"/>
        <v>60.221843677812245</v>
      </c>
      <c r="U13" s="3">
        <f>VLOOKUP($A13,'Summary Data (40)'!$C$2:$N$246,11,0)</f>
        <v>0</v>
      </c>
      <c r="V13" s="3">
        <f>VLOOKUP($A13,'Summary Data (40)'!$C$2:$N$246,12,1)</f>
        <v>0</v>
      </c>
      <c r="W13" s="3">
        <f>VLOOKUP($A13,'Summary Data (40)'!$C$2:$N$246,11,1)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(40)'!$C$2:$L$246,3,0)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(40)'!$C$2:$L$246,5,1)</f>
        <v>2.49776</v>
      </c>
      <c r="G14" s="3">
        <f>VLOOKUP($A14,'Summary Data (40)'!$C$2:$L$246,6,1)</f>
        <v>1.6</v>
      </c>
      <c r="H14" s="3">
        <f>VLOOKUP($A14,'Summary Data (40)'!$C$2:$L$246,7,1)</f>
        <v>-3.4729610000000002</v>
      </c>
      <c r="I14" s="3" t="str">
        <f>VLOOKUP($A14,'Summary Data (40)'!$C$2:$L$246,4,0)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5.3618776971431377</v>
      </c>
      <c r="N14" s="3">
        <f t="shared" si="1"/>
        <v>6.8004896083385784</v>
      </c>
      <c r="O14" s="3">
        <f t="shared" si="2"/>
        <v>8.0292617967033557</v>
      </c>
      <c r="P14" s="3">
        <f t="shared" si="3"/>
        <v>-1.2287721883647773</v>
      </c>
      <c r="Q14" s="5">
        <f t="shared" si="4"/>
        <v>-0.15303675723580032</v>
      </c>
      <c r="R14" s="3">
        <f t="shared" si="5"/>
        <v>23.666151625811782</v>
      </c>
      <c r="S14" s="3">
        <f t="shared" si="6"/>
        <v>-17.694581676752538</v>
      </c>
      <c r="T14" s="3">
        <f t="shared" si="7"/>
        <v>41.36073330256432</v>
      </c>
      <c r="U14" s="3">
        <f>VLOOKUP($A14,'Summary Data (40)'!$C$2:$N$246,11,0)</f>
        <v>0</v>
      </c>
      <c r="V14" s="3">
        <f>VLOOKUP($A14,'Summary Data (40)'!$C$2:$N$246,12,1)</f>
        <v>0</v>
      </c>
      <c r="W14" s="3">
        <f>VLOOKUP($A14,'Summary Data (40)'!$C$2:$N$246,11,1)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(40)'!$C$2:$L$246,3,0)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(40)'!$C$2:$L$246,5,1)</f>
        <v>6.425878</v>
      </c>
      <c r="G15" s="3">
        <f>VLOOKUP($A15,'Summary Data (40)'!$C$2:$L$246,6,1)</f>
        <v>1.6</v>
      </c>
      <c r="H15" s="3">
        <f>VLOOKUP($A15,'Summary Data (40)'!$C$2:$L$246,7,1)</f>
        <v>1.5469889999999999</v>
      </c>
      <c r="I15" s="3" t="str">
        <f>VLOOKUP($A15,'Summary Data (40)'!$C$2:$L$246,4,0)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10.817728677546178</v>
      </c>
      <c r="N15" s="3">
        <f t="shared" si="1"/>
        <v>10.6361432002867</v>
      </c>
      <c r="O15" s="3">
        <f t="shared" si="2"/>
        <v>1.5015515309172709</v>
      </c>
      <c r="P15" s="3">
        <f t="shared" si="3"/>
        <v>9.1345916693694296</v>
      </c>
      <c r="Q15" s="5">
        <f t="shared" si="4"/>
        <v>6.0834353542227557</v>
      </c>
      <c r="R15" s="3">
        <f t="shared" si="5"/>
        <v>-85.071579131103505</v>
      </c>
      <c r="S15" s="3">
        <f t="shared" si="6"/>
        <v>7.8734017963012448</v>
      </c>
      <c r="T15" s="3">
        <f t="shared" si="7"/>
        <v>92.944980927404742</v>
      </c>
      <c r="U15" s="3">
        <f>VLOOKUP($A15,'Summary Data (40)'!$C$2:$N$246,11,0)</f>
        <v>0</v>
      </c>
      <c r="V15" s="3">
        <f>VLOOKUP($A15,'Summary Data (40)'!$C$2:$N$246,12,1)</f>
        <v>0</v>
      </c>
      <c r="W15" s="3">
        <f>VLOOKUP($A15,'Summary Data (40)'!$C$2:$N$246,11,1)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(40)'!$C$2:$L$246,3,0)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(40)'!$C$2:$L$246,5,1)</f>
        <v>0.98686770000000001</v>
      </c>
      <c r="G16" s="3">
        <f>VLOOKUP($A16,'Summary Data (40)'!$C$2:$L$246,6,1)</f>
        <v>1.6</v>
      </c>
      <c r="H16" s="3">
        <f>VLOOKUP($A16,'Summary Data (40)'!$C$2:$L$246,7,1)</f>
        <v>-7.1299840000000003</v>
      </c>
      <c r="I16" s="3" t="str">
        <f>VLOOKUP($A16,'Summary Data (40)'!$C$2:$L$246,4,0)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9.9016960548766235</v>
      </c>
      <c r="N16" s="3">
        <f t="shared" si="1"/>
        <v>12.356195001462194</v>
      </c>
      <c r="O16" s="3">
        <f t="shared" si="2"/>
        <v>4.3329067610554466</v>
      </c>
      <c r="P16" s="3">
        <f t="shared" si="3"/>
        <v>8.023288240406746</v>
      </c>
      <c r="Q16" s="5">
        <f t="shared" si="4"/>
        <v>1.8517103373930817</v>
      </c>
      <c r="R16" s="3">
        <f t="shared" si="5"/>
        <v>-19.074748100261683</v>
      </c>
      <c r="S16" s="3">
        <f t="shared" si="6"/>
        <v>-65.796040911077938</v>
      </c>
      <c r="T16" s="3">
        <f t="shared" si="7"/>
        <v>46.721292810816252</v>
      </c>
      <c r="U16" s="3">
        <f>VLOOKUP($A16,'Summary Data (40)'!$C$2:$N$246,11,0)</f>
        <v>0</v>
      </c>
      <c r="V16" s="3">
        <f>VLOOKUP($A16,'Summary Data (40)'!$C$2:$N$246,12,1)</f>
        <v>0</v>
      </c>
      <c r="W16" s="3">
        <f>VLOOKUP($A16,'Summary Data (40)'!$C$2:$N$246,11,1)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(40)'!$C$2:$L$246,3,0)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(40)'!$C$2:$L$246,5,1)</f>
        <v>-6.703805</v>
      </c>
      <c r="G17" s="3">
        <f>VLOOKUP($A17,'Summary Data (40)'!$C$2:$L$246,6,1)</f>
        <v>1.6</v>
      </c>
      <c r="H17" s="3">
        <f>VLOOKUP($A17,'Summary Data (40)'!$C$2:$L$246,7,1)</f>
        <v>-5.3874779999999998</v>
      </c>
      <c r="I17" s="3" t="str">
        <f>VLOOKUP($A17,'Summary Data (40)'!$C$2:$L$246,4,0)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6.0605766737587761</v>
      </c>
      <c r="N17" s="3">
        <f t="shared" si="1"/>
        <v>11.621060376338685</v>
      </c>
      <c r="O17" s="3">
        <f t="shared" si="2"/>
        <v>8.0641771433916301</v>
      </c>
      <c r="P17" s="3">
        <f t="shared" si="3"/>
        <v>3.5568832329470546</v>
      </c>
      <c r="Q17" s="5">
        <f t="shared" si="4"/>
        <v>0.44107206100523499</v>
      </c>
      <c r="R17" s="3">
        <f t="shared" si="5"/>
        <v>174.57078263739461</v>
      </c>
      <c r="S17" s="3">
        <f t="shared" si="6"/>
        <v>-156.06600418805539</v>
      </c>
      <c r="T17" s="3">
        <f t="shared" si="7"/>
        <v>29.363213174549969</v>
      </c>
      <c r="U17" s="3">
        <f>VLOOKUP($A17,'Summary Data (40)'!$C$2:$N$246,11,0)</f>
        <v>0</v>
      </c>
      <c r="V17" s="3">
        <f>VLOOKUP($A17,'Summary Data (40)'!$C$2:$N$246,12,1)</f>
        <v>0</v>
      </c>
      <c r="W17" s="3">
        <f>VLOOKUP($A17,'Summary Data (40)'!$C$2:$N$246,11,1)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(40)'!$C$2:$L$246,3,0)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(40)'!$C$2:$L$246,5,1)</f>
        <v>-4.1636769999999999</v>
      </c>
      <c r="G18" s="3">
        <f>VLOOKUP($A18,'Summary Data (40)'!$C$2:$L$246,6,1)</f>
        <v>1.6</v>
      </c>
      <c r="H18" s="3">
        <f>VLOOKUP($A18,'Summary Data (40)'!$C$2:$L$246,7,1)</f>
        <v>4.5125679999999999</v>
      </c>
      <c r="I18" s="3" t="str">
        <f>VLOOKUP($A18,'Summary Data (40)'!$C$2:$L$246,4,0)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9.6022715341190494</v>
      </c>
      <c r="N18" s="3">
        <f t="shared" si="1"/>
        <v>8.0042230756615602</v>
      </c>
      <c r="O18" s="3">
        <f t="shared" si="2"/>
        <v>2.5489458605470614</v>
      </c>
      <c r="P18" s="3">
        <f t="shared" si="3"/>
        <v>5.4552772151144993</v>
      </c>
      <c r="Q18" s="5">
        <f t="shared" si="4"/>
        <v>2.1402091349024075</v>
      </c>
      <c r="R18" s="3">
        <f t="shared" si="5"/>
        <v>-77.654050540796021</v>
      </c>
      <c r="S18" s="3">
        <f t="shared" si="6"/>
        <v>160.31990126380984</v>
      </c>
      <c r="T18" s="3">
        <f t="shared" si="7"/>
        <v>122.02604819539414</v>
      </c>
      <c r="U18" s="3">
        <f>VLOOKUP($A18,'Summary Data (40)'!$C$2:$N$246,11,0)</f>
        <v>0</v>
      </c>
      <c r="V18" s="3">
        <f>VLOOKUP($A18,'Summary Data (40)'!$C$2:$N$246,12,1)</f>
        <v>0</v>
      </c>
      <c r="W18" s="3">
        <f>VLOOKUP($A18,'Summary Data (40)'!$C$2:$N$246,11,1)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(40)'!$C$2:$L$246,3,0)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(40)'!$C$2:$L$246,5,1)</f>
        <v>2.1742170000000001</v>
      </c>
      <c r="G19" s="3">
        <f>VLOOKUP($A19,'Summary Data (40)'!$C$2:$L$246,6,1)</f>
        <v>1.6</v>
      </c>
      <c r="H19" s="3">
        <f>VLOOKUP($A19,'Summary Data (40)'!$C$2:$L$246,7,1)</f>
        <v>-3.5607850000000001</v>
      </c>
      <c r="I19" s="3" t="str">
        <f>VLOOKUP($A19,'Summary Data (40)'!$C$2:$L$246,4,0)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5.5097778709594092</v>
      </c>
      <c r="N19" s="3">
        <f t="shared" si="1"/>
        <v>6.521487155037109</v>
      </c>
      <c r="O19" s="3">
        <f t="shared" si="2"/>
        <v>8.0292617967033557</v>
      </c>
      <c r="P19" s="3">
        <f t="shared" si="3"/>
        <v>-1.5077746416662468</v>
      </c>
      <c r="Q19" s="5">
        <f t="shared" si="4"/>
        <v>-0.18778496452629145</v>
      </c>
      <c r="R19" s="3">
        <f t="shared" si="5"/>
        <v>23.666151625811782</v>
      </c>
      <c r="S19" s="3">
        <f t="shared" si="6"/>
        <v>-19.293852867950079</v>
      </c>
      <c r="T19" s="3">
        <f t="shared" si="7"/>
        <v>42.960004493761858</v>
      </c>
      <c r="U19" s="3">
        <f>VLOOKUP($A19,'Summary Data (40)'!$C$2:$N$246,11,0)</f>
        <v>0</v>
      </c>
      <c r="V19" s="3">
        <f>VLOOKUP($A19,'Summary Data (40)'!$C$2:$N$246,12,1)</f>
        <v>0</v>
      </c>
      <c r="W19" s="3">
        <f>VLOOKUP($A19,'Summary Data (40)'!$C$2:$N$246,11,1)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(40)'!$C$2:$L$246,3,0)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(40)'!$C$2:$L$246,5,1)</f>
        <v>-2.5050690000000002</v>
      </c>
      <c r="G20" s="3">
        <f>VLOOKUP($A20,'Summary Data (40)'!$C$2:$L$246,6,1)</f>
        <v>1.6</v>
      </c>
      <c r="H20" s="3">
        <f>VLOOKUP($A20,'Summary Data (40)'!$C$2:$L$246,7,1)</f>
        <v>-2.0017800000000001</v>
      </c>
      <c r="I20" s="3" t="str">
        <f>VLOOKUP($A20,'Summary Data (40)'!$C$2:$L$246,4,0)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6.4605933497753139</v>
      </c>
      <c r="N20" s="3">
        <f t="shared" si="1"/>
        <v>5.356191325107889</v>
      </c>
      <c r="O20" s="3">
        <f t="shared" si="2"/>
        <v>7.8871175977032326</v>
      </c>
      <c r="P20" s="3">
        <f t="shared" si="3"/>
        <v>-2.5309262725953436</v>
      </c>
      <c r="Q20" s="5">
        <f t="shared" si="4"/>
        <v>-0.32089369040628501</v>
      </c>
      <c r="R20" s="3">
        <f t="shared" si="5"/>
        <v>-63.65586590726528</v>
      </c>
      <c r="S20" s="3">
        <f t="shared" si="6"/>
        <v>-118.07865036021167</v>
      </c>
      <c r="T20" s="3">
        <f t="shared" si="7"/>
        <v>54.422784452946388</v>
      </c>
      <c r="U20" s="3">
        <f>VLOOKUP($A20,'Summary Data (40)'!$C$2:$N$246,11,0)</f>
        <v>0</v>
      </c>
      <c r="V20" s="3">
        <f>VLOOKUP($A20,'Summary Data (40)'!$C$2:$N$246,12,1)</f>
        <v>0</v>
      </c>
      <c r="W20" s="3">
        <f>VLOOKUP($A20,'Summary Data (40)'!$C$2:$N$246,11,1)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(40)'!$C$2:$L$246,3,0)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(40)'!$C$2:$L$246,5,1)</f>
        <v>-3.1327850000000002</v>
      </c>
      <c r="G21" s="3">
        <f>VLOOKUP($A21,'Summary Data (40)'!$C$2:$L$246,6,1)</f>
        <v>1.6</v>
      </c>
      <c r="H21" s="3">
        <f>VLOOKUP($A21,'Summary Data (40)'!$C$2:$L$246,7,1)</f>
        <v>5.7644640000000003</v>
      </c>
      <c r="I21" s="3" t="str">
        <f>VLOOKUP($A21,'Summary Data (40)'!$C$2:$L$246,4,0)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9.5474872017469075</v>
      </c>
      <c r="N21" s="3">
        <f t="shared" si="1"/>
        <v>7.6097115909554027</v>
      </c>
      <c r="O21" s="3">
        <f t="shared" si="2"/>
        <v>2.5489458605470614</v>
      </c>
      <c r="P21" s="3">
        <f t="shared" si="3"/>
        <v>5.0607657304083418</v>
      </c>
      <c r="Q21" s="5">
        <f t="shared" si="4"/>
        <v>1.9854347668734662</v>
      </c>
      <c r="R21" s="3">
        <f t="shared" si="5"/>
        <v>-77.654050540796021</v>
      </c>
      <c r="S21" s="3">
        <f t="shared" si="6"/>
        <v>148.75220946235797</v>
      </c>
      <c r="T21" s="3">
        <f t="shared" si="7"/>
        <v>133.59373999684601</v>
      </c>
      <c r="U21" s="3">
        <f>VLOOKUP($A21,'Summary Data (40)'!$C$2:$N$246,11,0)</f>
        <v>0</v>
      </c>
      <c r="V21" s="3">
        <f>VLOOKUP($A21,'Summary Data (40)'!$C$2:$N$246,12,1)</f>
        <v>0</v>
      </c>
      <c r="W21" s="3">
        <f>VLOOKUP($A21,'Summary Data (40)'!$C$2:$N$246,11,1)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(40)'!$C$2:$L$246,3,0)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(40)'!$C$2:$L$246,5,1)</f>
        <v>4.9475410000000002</v>
      </c>
      <c r="G22" s="3">
        <f>VLOOKUP($A22,'Summary Data (40)'!$C$2:$L$246,6,1)</f>
        <v>1.6</v>
      </c>
      <c r="H22" s="3">
        <f>VLOOKUP($A22,'Summary Data (40)'!$C$2:$L$246,7,1)</f>
        <v>5.3411590000000002</v>
      </c>
      <c r="I22" s="3" t="str">
        <f>VLOOKUP($A22,'Summary Data (40)'!$C$2:$L$246,4,0)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11.191201855027099</v>
      </c>
      <c r="N22" s="3">
        <f t="shared" si="1"/>
        <v>10.469657100877852</v>
      </c>
      <c r="O22" s="3">
        <f t="shared" si="2"/>
        <v>1.5015515309172709</v>
      </c>
      <c r="P22" s="3">
        <f t="shared" si="3"/>
        <v>8.9681055699605814</v>
      </c>
      <c r="Q22" s="5">
        <f t="shared" si="4"/>
        <v>5.9725593063610187</v>
      </c>
      <c r="R22" s="3">
        <f t="shared" si="5"/>
        <v>-85.071579131103505</v>
      </c>
      <c r="S22" s="3">
        <f t="shared" si="6"/>
        <v>30.103248534804326</v>
      </c>
      <c r="T22" s="3">
        <f t="shared" si="7"/>
        <v>115.17482766590783</v>
      </c>
      <c r="U22" s="3">
        <f>VLOOKUP($A22,'Summary Data (40)'!$C$2:$N$246,11,0)</f>
        <v>0</v>
      </c>
      <c r="V22" s="3">
        <f>VLOOKUP($A22,'Summary Data (40)'!$C$2:$N$246,12,1)</f>
        <v>0</v>
      </c>
      <c r="W22" s="3">
        <f>VLOOKUP($A22,'Summary Data (40)'!$C$2:$N$246,11,1)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(40)'!$C$2:$L$246,3,0)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(40)'!$C$2:$L$246,5,1)</f>
        <v>2.8156140000000001</v>
      </c>
      <c r="G23" s="3">
        <f>VLOOKUP($A23,'Summary Data (40)'!$C$2:$L$246,6,1)</f>
        <v>1.6</v>
      </c>
      <c r="H23" s="3">
        <f>VLOOKUP($A23,'Summary Data (40)'!$C$2:$L$246,7,1)</f>
        <v>7.8010270000000004</v>
      </c>
      <c r="I23" s="3" t="str">
        <f>VLOOKUP($A23,'Summary Data (40)'!$C$2:$L$246,4,0)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12.469005315971479</v>
      </c>
      <c r="N23" s="3">
        <f t="shared" si="1"/>
        <v>12.16520535707166</v>
      </c>
      <c r="O23" s="3">
        <f t="shared" si="2"/>
        <v>4.3718971854333439</v>
      </c>
      <c r="P23" s="3">
        <f t="shared" si="3"/>
        <v>7.7933081716383157</v>
      </c>
      <c r="Q23" s="5">
        <f t="shared" si="4"/>
        <v>1.7825918225169424</v>
      </c>
      <c r="R23" s="3">
        <f t="shared" si="5"/>
        <v>177.02371934116897</v>
      </c>
      <c r="S23" s="3">
        <f t="shared" si="6"/>
        <v>93.300508517567522</v>
      </c>
      <c r="T23" s="3">
        <f t="shared" si="7"/>
        <v>83.723210823601448</v>
      </c>
      <c r="U23" s="3">
        <f>VLOOKUP($A23,'Summary Data (40)'!$C$2:$N$246,11,0)</f>
        <v>0</v>
      </c>
      <c r="V23" s="3">
        <f>VLOOKUP($A23,'Summary Data (40)'!$C$2:$N$246,12,1)</f>
        <v>0</v>
      </c>
      <c r="W23" s="3">
        <f>VLOOKUP($A23,'Summary Data (40)'!$C$2:$N$246,11,1)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(40)'!$C$2:$L$246,3,0)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(40)'!$C$2:$L$246,5,1)</f>
        <v>5.5209679999999999</v>
      </c>
      <c r="G24" s="3">
        <f>VLOOKUP($A24,'Summary Data (40)'!$C$2:$L$246,6,1)</f>
        <v>1.6</v>
      </c>
      <c r="H24" s="3">
        <f>VLOOKUP($A24,'Summary Data (40)'!$C$2:$L$246,7,1)</f>
        <v>1.7149049999999999</v>
      </c>
      <c r="I24" s="3" t="str">
        <f>VLOOKUP($A24,'Summary Data (40)'!$C$2:$L$246,4,0)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9.9015388379811462</v>
      </c>
      <c r="N24" s="3">
        <f t="shared" si="1"/>
        <v>8.6371493668946702</v>
      </c>
      <c r="O24" s="3">
        <f t="shared" si="2"/>
        <v>8.8659173242253964</v>
      </c>
      <c r="P24" s="3">
        <f t="shared" si="3"/>
        <v>-0.22876795733072619</v>
      </c>
      <c r="Q24" s="5">
        <f t="shared" si="4"/>
        <v>-2.5803078120933565E-2</v>
      </c>
      <c r="R24" s="3">
        <f t="shared" si="5"/>
        <v>111.35858600069317</v>
      </c>
      <c r="S24" s="3">
        <f t="shared" si="6"/>
        <v>42.470598313189548</v>
      </c>
      <c r="T24" s="3">
        <f t="shared" si="7"/>
        <v>68.887987687503625</v>
      </c>
      <c r="U24" s="3">
        <f>VLOOKUP($A24,'Summary Data (40)'!$C$2:$N$246,11,0)</f>
        <v>0</v>
      </c>
      <c r="V24" s="3">
        <f>VLOOKUP($A24,'Summary Data (40)'!$C$2:$N$246,12,1)</f>
        <v>0</v>
      </c>
      <c r="W24" s="3">
        <f>VLOOKUP($A24,'Summary Data (40)'!$C$2:$N$246,11,1)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(40)'!$C$2:$L$246,3,0)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(40)'!$C$2:$L$246,5,1)</f>
        <v>-5.2725169999999997</v>
      </c>
      <c r="G25" s="3">
        <f>VLOOKUP($A25,'Summary Data (40)'!$C$2:$L$246,6,1)</f>
        <v>1.6</v>
      </c>
      <c r="H25" s="3">
        <f>VLOOKUP($A25,'Summary Data (40)'!$C$2:$L$246,7,1)</f>
        <v>-4.2181699999999998</v>
      </c>
      <c r="I25" s="3" t="str">
        <f>VLOOKUP($A25,'Summary Data (40)'!$C$2:$L$246,4,0)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4.4622611447772753</v>
      </c>
      <c r="N25" s="3">
        <f t="shared" si="1"/>
        <v>9.8505752652415683</v>
      </c>
      <c r="O25" s="3">
        <f t="shared" si="2"/>
        <v>8.0641771433916301</v>
      </c>
      <c r="P25" s="3">
        <f t="shared" si="3"/>
        <v>1.7863981218499383</v>
      </c>
      <c r="Q25" s="5">
        <f t="shared" si="4"/>
        <v>0.22152267864227687</v>
      </c>
      <c r="R25" s="3">
        <f t="shared" si="5"/>
        <v>174.57078263739461</v>
      </c>
      <c r="S25" s="3">
        <f t="shared" si="6"/>
        <v>-158.90626960649141</v>
      </c>
      <c r="T25" s="3">
        <f t="shared" si="7"/>
        <v>26.522947756113979</v>
      </c>
      <c r="U25" s="3">
        <f>VLOOKUP($A25,'Summary Data (40)'!$C$2:$N$246,11,0)</f>
        <v>0</v>
      </c>
      <c r="V25" s="3">
        <f>VLOOKUP($A25,'Summary Data (40)'!$C$2:$N$246,12,1)</f>
        <v>0</v>
      </c>
      <c r="W25" s="3">
        <f>VLOOKUP($A25,'Summary Data (40)'!$C$2:$N$246,11,1)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(40)'!$C$2:$L$246,3,0)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(40)'!$C$2:$L$246,5,1)</f>
        <v>0.51192119999999997</v>
      </c>
      <c r="G26" s="3">
        <f>VLOOKUP($A26,'Summary Data (40)'!$C$2:$L$246,6,1)</f>
        <v>1.6</v>
      </c>
      <c r="H26" s="3">
        <f>VLOOKUP($A26,'Summary Data (40)'!$C$2:$L$246,7,1)</f>
        <v>-6.0612209999999997</v>
      </c>
      <c r="I26" s="3" t="str">
        <f>VLOOKUP($A26,'Summary Data (40)'!$C$2:$L$246,4,0)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8.7992071151581861</v>
      </c>
      <c r="N26" s="3">
        <f t="shared" si="1"/>
        <v>11.186664710960565</v>
      </c>
      <c r="O26" s="3">
        <f t="shared" si="2"/>
        <v>4.3329067610554466</v>
      </c>
      <c r="P26" s="3">
        <f t="shared" si="3"/>
        <v>6.8537579499051189</v>
      </c>
      <c r="Q26" s="5">
        <f t="shared" si="4"/>
        <v>1.5817921612131856</v>
      </c>
      <c r="R26" s="3">
        <f t="shared" si="5"/>
        <v>-19.074748100261683</v>
      </c>
      <c r="S26" s="3">
        <f t="shared" si="6"/>
        <v>-65.770518359335611</v>
      </c>
      <c r="T26" s="3">
        <f t="shared" si="7"/>
        <v>46.695770259073925</v>
      </c>
      <c r="U26" s="3">
        <f>VLOOKUP($A26,'Summary Data (40)'!$C$2:$N$246,11,0)</f>
        <v>0</v>
      </c>
      <c r="V26" s="3">
        <f>VLOOKUP($A26,'Summary Data (40)'!$C$2:$N$246,12,1)</f>
        <v>0</v>
      </c>
      <c r="W26" s="3">
        <f>VLOOKUP($A26,'Summary Data (40)'!$C$2:$N$246,11,1)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(40)'!$C$2:$L$246,3,0)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(40)'!$C$2:$L$246,5,1)</f>
        <v>3.2589549999999998</v>
      </c>
      <c r="G27" s="3">
        <f>VLOOKUP($A27,'Summary Data (40)'!$C$2:$L$246,6,1)</f>
        <v>1.6</v>
      </c>
      <c r="H27" s="3">
        <f>VLOOKUP($A27,'Summary Data (40)'!$C$2:$L$246,7,1)</f>
        <v>1.4807269999999999</v>
      </c>
      <c r="I27" s="3" t="str">
        <f>VLOOKUP($A27,'Summary Data (40)'!$C$2:$L$246,4,0)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7.8049546104095944</v>
      </c>
      <c r="N27" s="3">
        <f t="shared" si="1"/>
        <v>6.9439224332184182</v>
      </c>
      <c r="O27" s="3">
        <f t="shared" si="2"/>
        <v>8.8659173242253964</v>
      </c>
      <c r="P27" s="3">
        <f t="shared" si="3"/>
        <v>-1.9219948910069782</v>
      </c>
      <c r="Q27" s="5">
        <f t="shared" si="4"/>
        <v>-0.21678466206258024</v>
      </c>
      <c r="R27" s="3">
        <f t="shared" si="5"/>
        <v>111.35858600069317</v>
      </c>
      <c r="S27" s="3">
        <f t="shared" si="6"/>
        <v>53.719845076823482</v>
      </c>
      <c r="T27" s="3">
        <f t="shared" si="7"/>
        <v>57.638740923869683</v>
      </c>
      <c r="U27" s="3">
        <f>VLOOKUP($A27,'Summary Data (40)'!$C$2:$N$246,11,0)</f>
        <v>0</v>
      </c>
      <c r="V27" s="3">
        <f>VLOOKUP($A27,'Summary Data (40)'!$C$2:$N$246,12,1)</f>
        <v>0</v>
      </c>
      <c r="W27" s="3">
        <f>VLOOKUP($A27,'Summary Data (40)'!$C$2:$N$246,11,1)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(40)'!$C$2:$L$246,3,0)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(40)'!$C$2:$L$246,5,1)</f>
        <v>-3.2656700000000001</v>
      </c>
      <c r="G28" s="3">
        <f>VLOOKUP($A28,'Summary Data (40)'!$C$2:$L$246,6,1)</f>
        <v>1.6</v>
      </c>
      <c r="H28" s="3">
        <f>VLOOKUP($A28,'Summary Data (40)'!$C$2:$L$246,7,1)</f>
        <v>4.4527789999999996</v>
      </c>
      <c r="I28" s="3" t="str">
        <f>VLOOKUP($A28,'Summary Data (40)'!$C$2:$L$246,4,0)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8.8248923520766525</v>
      </c>
      <c r="N28" s="3">
        <f t="shared" si="1"/>
        <v>7.1427774923863474</v>
      </c>
      <c r="O28" s="3">
        <f t="shared" si="2"/>
        <v>2.5489458605470614</v>
      </c>
      <c r="P28" s="3">
        <f t="shared" si="3"/>
        <v>4.5938316318392864</v>
      </c>
      <c r="Q28" s="5">
        <f t="shared" si="4"/>
        <v>1.8022476283012721</v>
      </c>
      <c r="R28" s="3">
        <f t="shared" si="5"/>
        <v>-77.654050540796021</v>
      </c>
      <c r="S28" s="3">
        <f t="shared" si="6"/>
        <v>158.34522990503027</v>
      </c>
      <c r="T28" s="3">
        <f t="shared" si="7"/>
        <v>124.00071955417371</v>
      </c>
      <c r="U28" s="3">
        <f>VLOOKUP($A28,'Summary Data (40)'!$C$2:$N$246,11,0)</f>
        <v>0</v>
      </c>
      <c r="V28" s="3">
        <f>VLOOKUP($A28,'Summary Data (40)'!$C$2:$N$246,12,1)</f>
        <v>0</v>
      </c>
      <c r="W28" s="3">
        <f>VLOOKUP($A28,'Summary Data (40)'!$C$2:$N$246,11,1)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(40)'!$C$2:$L$246,3,0)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(40)'!$C$2:$L$246,5,1)</f>
        <v>2.3921130000000002</v>
      </c>
      <c r="G29" s="3">
        <f>VLOOKUP($A29,'Summary Data (40)'!$C$2:$L$246,6,1)</f>
        <v>1.6</v>
      </c>
      <c r="H29" s="3">
        <f>VLOOKUP($A29,'Summary Data (40)'!$C$2:$L$246,7,1)</f>
        <v>-8.0833700000000004</v>
      </c>
      <c r="I29" s="3" t="str">
        <f>VLOOKUP($A29,'Summary Data (40)'!$C$2:$L$246,4,0)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11.065494083215128</v>
      </c>
      <c r="N29" s="3">
        <f t="shared" si="1"/>
        <v>13.830621013377128</v>
      </c>
      <c r="O29" s="3">
        <f t="shared" si="2"/>
        <v>4.3329067610554466</v>
      </c>
      <c r="P29" s="3">
        <f t="shared" si="3"/>
        <v>9.497714252321682</v>
      </c>
      <c r="Q29" s="5">
        <f t="shared" si="4"/>
        <v>2.1919959916257574</v>
      </c>
      <c r="R29" s="3">
        <f t="shared" si="5"/>
        <v>-19.074748100261683</v>
      </c>
      <c r="S29" s="3">
        <f t="shared" si="6"/>
        <v>-62.103032421805835</v>
      </c>
      <c r="T29" s="3">
        <f t="shared" si="7"/>
        <v>43.028284321544149</v>
      </c>
      <c r="U29" s="3">
        <f>VLOOKUP($A29,'Summary Data (40)'!$C$2:$N$246,11,0)</f>
        <v>0</v>
      </c>
      <c r="V29" s="3">
        <f>VLOOKUP($A29,'Summary Data (40)'!$C$2:$N$246,12,1)</f>
        <v>0</v>
      </c>
      <c r="W29" s="3">
        <f>VLOOKUP($A29,'Summary Data (40)'!$C$2:$N$246,11,1)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(40)'!$C$2:$L$246,3,0)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(40)'!$C$2:$L$246,5,1)</f>
        <v>2.4798260000000001</v>
      </c>
      <c r="G30" s="3">
        <f>VLOOKUP($A30,'Summary Data (40)'!$C$2:$L$246,6,1)</f>
        <v>1.6</v>
      </c>
      <c r="H30" s="3">
        <f>VLOOKUP($A30,'Summary Data (40)'!$C$2:$L$246,7,1)</f>
        <v>7.0620029999999998</v>
      </c>
      <c r="I30" s="3" t="str">
        <f>VLOOKUP($A30,'Summary Data (40)'!$C$2:$L$246,4,0)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11.66438379273783</v>
      </c>
      <c r="N30" s="3">
        <f t="shared" si="1"/>
        <v>11.452971710184435</v>
      </c>
      <c r="O30" s="3">
        <f t="shared" si="2"/>
        <v>4.3718971854333439</v>
      </c>
      <c r="P30" s="3">
        <f t="shared" si="3"/>
        <v>7.0810745247510916</v>
      </c>
      <c r="Q30" s="5">
        <f t="shared" si="4"/>
        <v>1.6196800209173292</v>
      </c>
      <c r="R30" s="3">
        <f t="shared" si="5"/>
        <v>177.02371934116897</v>
      </c>
      <c r="S30" s="3">
        <f t="shared" si="6"/>
        <v>95.190765212287587</v>
      </c>
      <c r="T30" s="3">
        <f t="shared" si="7"/>
        <v>81.832954128881383</v>
      </c>
      <c r="U30" s="3">
        <f>VLOOKUP($A30,'Summary Data (40)'!$C$2:$N$246,11,0)</f>
        <v>0</v>
      </c>
      <c r="V30" s="3">
        <f>VLOOKUP($A30,'Summary Data (40)'!$C$2:$N$246,12,1)</f>
        <v>0</v>
      </c>
      <c r="W30" s="3">
        <f>VLOOKUP($A30,'Summary Data (40)'!$C$2:$N$246,11,1)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(40)'!$C$2:$L$246,3,0)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(40)'!$C$2:$L$246,5,1)</f>
        <v>3.889974</v>
      </c>
      <c r="G31" s="3">
        <f>VLOOKUP($A31,'Summary Data (40)'!$C$2:$L$246,6,1)</f>
        <v>1.6</v>
      </c>
      <c r="H31" s="3">
        <f>VLOOKUP($A31,'Summary Data (40)'!$C$2:$L$246,7,1)</f>
        <v>1.267339</v>
      </c>
      <c r="I31" s="3" t="str">
        <f>VLOOKUP($A31,'Summary Data (40)'!$C$2:$L$246,4,0)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8.3125792097036282</v>
      </c>
      <c r="N31" s="3">
        <f t="shared" si="1"/>
        <v>8.0861431549037643</v>
      </c>
      <c r="O31" s="3">
        <f t="shared" si="2"/>
        <v>1.5015515309172709</v>
      </c>
      <c r="P31" s="3">
        <f t="shared" si="3"/>
        <v>6.5845916239864932</v>
      </c>
      <c r="Q31" s="5">
        <f t="shared" si="4"/>
        <v>4.3851919087745754</v>
      </c>
      <c r="R31" s="3">
        <f t="shared" si="5"/>
        <v>-85.071579131103505</v>
      </c>
      <c r="S31" s="3">
        <f t="shared" si="6"/>
        <v>8.3720007350113743</v>
      </c>
      <c r="T31" s="3">
        <f t="shared" si="7"/>
        <v>93.443579866114874</v>
      </c>
      <c r="U31" s="3">
        <f>VLOOKUP($A31,'Summary Data (40)'!$C$2:$N$246,11,0)</f>
        <v>0</v>
      </c>
      <c r="V31" s="3">
        <f>VLOOKUP($A31,'Summary Data (40)'!$C$2:$N$246,12,1)</f>
        <v>0</v>
      </c>
      <c r="W31" s="3">
        <f>VLOOKUP($A31,'Summary Data (40)'!$C$2:$N$246,11,1)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(40)'!$C$2:$L$246,3,0)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(40)'!$C$2:$L$246,5,1)</f>
        <v>-5.4758440000000004</v>
      </c>
      <c r="G32" s="3">
        <f>VLOOKUP($A32,'Summary Data (40)'!$C$2:$L$246,6,1)</f>
        <v>1.6</v>
      </c>
      <c r="H32" s="3">
        <f>VLOOKUP($A32,'Summary Data (40)'!$C$2:$L$246,7,1)</f>
        <v>-4.0411270000000004</v>
      </c>
      <c r="I32" s="3" t="str">
        <f>VLOOKUP($A32,'Summary Data (40)'!$C$2:$L$246,4,0)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4.3510619534160861</v>
      </c>
      <c r="N32" s="3">
        <f t="shared" si="1"/>
        <v>9.9794080277572093</v>
      </c>
      <c r="O32" s="3">
        <f t="shared" si="2"/>
        <v>8.0641771433916301</v>
      </c>
      <c r="P32" s="3">
        <f t="shared" si="3"/>
        <v>1.9152308843655792</v>
      </c>
      <c r="Q32" s="5">
        <f t="shared" si="4"/>
        <v>0.23749861273013551</v>
      </c>
      <c r="R32" s="3">
        <f t="shared" si="5"/>
        <v>174.57078263739461</v>
      </c>
      <c r="S32" s="3">
        <f t="shared" si="6"/>
        <v>-160.27489807364512</v>
      </c>
      <c r="T32" s="3">
        <f t="shared" si="7"/>
        <v>25.154319288960266</v>
      </c>
      <c r="U32" s="3">
        <f>VLOOKUP($A32,'Summary Data (40)'!$C$2:$N$246,11,0)</f>
        <v>0</v>
      </c>
      <c r="V32" s="3">
        <f>VLOOKUP($A32,'Summary Data (40)'!$C$2:$N$246,12,1)</f>
        <v>0</v>
      </c>
      <c r="W32" s="3">
        <f>VLOOKUP($A32,'Summary Data (40)'!$C$2:$N$246,11,1)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(40)'!$C$2:$L$246,3,0)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(40)'!$C$2:$L$246,5,1)</f>
        <v>-2.919651</v>
      </c>
      <c r="G33" s="3">
        <f>VLOOKUP($A33,'Summary Data (40)'!$C$2:$L$246,6,1)</f>
        <v>1.6</v>
      </c>
      <c r="H33" s="3">
        <f>VLOOKUP($A33,'Summary Data (40)'!$C$2:$L$246,7,1)</f>
        <v>-3.81366</v>
      </c>
      <c r="I33" s="3" t="str">
        <f>VLOOKUP($A33,'Summary Data (40)'!$C$2:$L$246,4,0)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6.4574657807379054</v>
      </c>
      <c r="N33" s="3">
        <f t="shared" si="1"/>
        <v>7.1665225227721852</v>
      </c>
      <c r="O33" s="3">
        <f t="shared" si="2"/>
        <v>7.8871175977032326</v>
      </c>
      <c r="P33" s="3">
        <f t="shared" si="3"/>
        <v>-0.72059507493104746</v>
      </c>
      <c r="Q33" s="5">
        <f t="shared" si="4"/>
        <v>-9.1363551513532426E-2</v>
      </c>
      <c r="R33" s="3">
        <f t="shared" si="5"/>
        <v>-63.65586590726528</v>
      </c>
      <c r="S33" s="3">
        <f t="shared" si="6"/>
        <v>-114.18184281305845</v>
      </c>
      <c r="T33" s="3">
        <f t="shared" si="7"/>
        <v>50.525976905793172</v>
      </c>
      <c r="U33" s="3">
        <f>VLOOKUP($A33,'Summary Data (40)'!$C$2:$N$246,11,0)</f>
        <v>0</v>
      </c>
      <c r="V33" s="3">
        <f>VLOOKUP($A33,'Summary Data (40)'!$C$2:$N$246,12,1)</f>
        <v>0</v>
      </c>
      <c r="W33" s="3">
        <f>VLOOKUP($A33,'Summary Data (40)'!$C$2:$N$246,11,1)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(40)'!$C$2:$L$246,3,0)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(40)'!$C$2:$L$246,5,1)</f>
        <v>3.558487</v>
      </c>
      <c r="G34" s="3">
        <f>VLOOKUP($A34,'Summary Data (40)'!$C$2:$L$246,6,1)</f>
        <v>1.6</v>
      </c>
      <c r="H34" s="3">
        <f>VLOOKUP($A34,'Summary Data (40)'!$C$2:$L$246,7,1)</f>
        <v>-2.5002610000000001</v>
      </c>
      <c r="I34" s="3" t="str">
        <f>VLOOKUP($A34,'Summary Data (40)'!$C$2:$L$246,4,0)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4.3212437988720334</v>
      </c>
      <c r="N34" s="3">
        <f t="shared" si="1"/>
        <v>7.6184822214985832</v>
      </c>
      <c r="O34" s="3">
        <f t="shared" si="2"/>
        <v>8.0292617967033557</v>
      </c>
      <c r="P34" s="3">
        <f t="shared" si="3"/>
        <v>-0.41077957520477248</v>
      </c>
      <c r="Q34" s="5">
        <f t="shared" si="4"/>
        <v>-5.1160316552815582E-2</v>
      </c>
      <c r="R34" s="3">
        <f t="shared" si="5"/>
        <v>23.666151625811782</v>
      </c>
      <c r="S34" s="3">
        <f t="shared" si="6"/>
        <v>-8.2580933859662373</v>
      </c>
      <c r="T34" s="3">
        <f t="shared" si="7"/>
        <v>31.924245011778019</v>
      </c>
      <c r="U34" s="3">
        <f>VLOOKUP($A34,'Summary Data (40)'!$C$2:$N$246,11,0)</f>
        <v>0</v>
      </c>
      <c r="V34" s="3">
        <f>VLOOKUP($A34,'Summary Data (40)'!$C$2:$N$246,12,1)</f>
        <v>0</v>
      </c>
      <c r="W34" s="3">
        <f>VLOOKUP($A34,'Summary Data (40)'!$C$2:$N$246,11,1)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(40)'!$C$2:$L$246,3,0)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(40)'!$C$2:$L$246,5,1)</f>
        <v>-4.8979910000000002</v>
      </c>
      <c r="G35" s="3">
        <f>VLOOKUP($A35,'Summary Data (40)'!$C$2:$L$246,6,1)</f>
        <v>1.6</v>
      </c>
      <c r="H35" s="3">
        <f>VLOOKUP($A35,'Summary Data (40)'!$C$2:$L$246,7,1)</f>
        <v>-3.4512350000000001</v>
      </c>
      <c r="I35" s="3" t="str">
        <f>VLOOKUP($A35,'Summary Data (40)'!$C$2:$L$246,4,0)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3.6278471772259095</v>
      </c>
      <c r="N35" s="3">
        <f t="shared" si="1"/>
        <v>9.2433915327279088</v>
      </c>
      <c r="O35" s="3">
        <f t="shared" si="2"/>
        <v>8.0641771433916301</v>
      </c>
      <c r="P35" s="3">
        <f t="shared" si="3"/>
        <v>1.1792143893362788</v>
      </c>
      <c r="Q35" s="5">
        <f t="shared" si="4"/>
        <v>0.14622873088826085</v>
      </c>
      <c r="R35" s="3">
        <f t="shared" si="5"/>
        <v>174.57078263739461</v>
      </c>
      <c r="S35" s="3">
        <f t="shared" si="6"/>
        <v>-162.50849085514267</v>
      </c>
      <c r="T35" s="3">
        <f t="shared" si="7"/>
        <v>22.920726507462746</v>
      </c>
      <c r="U35" s="3">
        <f>VLOOKUP($A35,'Summary Data (40)'!$C$2:$N$246,11,0)</f>
        <v>0</v>
      </c>
      <c r="V35" s="3">
        <f>VLOOKUP($A35,'Summary Data (40)'!$C$2:$N$246,12,1)</f>
        <v>0</v>
      </c>
      <c r="W35" s="3">
        <f>VLOOKUP($A35,'Summary Data (40)'!$C$2:$N$246,11,1)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(40)'!$C$2:$L$246,3,0)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(40)'!$C$2:$L$246,5,1)</f>
        <v>-3.2027969999999999</v>
      </c>
      <c r="G36" s="3">
        <f>VLOOKUP($A36,'Summary Data (40)'!$C$2:$L$246,6,1)</f>
        <v>1.6</v>
      </c>
      <c r="H36" s="3">
        <f>VLOOKUP($A36,'Summary Data (40)'!$C$2:$L$246,7,1)</f>
        <v>2.980855</v>
      </c>
      <c r="I36" s="3" t="str">
        <f>VLOOKUP($A36,'Summary Data (40)'!$C$2:$L$246,4,0)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8.0035246158323279</v>
      </c>
      <c r="N36" s="3">
        <f t="shared" si="1"/>
        <v>6.67799855093081</v>
      </c>
      <c r="O36" s="3">
        <f t="shared" si="2"/>
        <v>2.5489458605470614</v>
      </c>
      <c r="P36" s="3">
        <f t="shared" si="3"/>
        <v>4.1290526903837481</v>
      </c>
      <c r="Q36" s="5">
        <f t="shared" si="4"/>
        <v>1.6199059989048021</v>
      </c>
      <c r="R36" s="3">
        <f t="shared" si="5"/>
        <v>-77.654050540796021</v>
      </c>
      <c r="S36" s="3">
        <f t="shared" si="6"/>
        <v>169.96312184474962</v>
      </c>
      <c r="T36" s="3">
        <f t="shared" si="7"/>
        <v>112.38282761445436</v>
      </c>
      <c r="U36" s="3">
        <f>VLOOKUP($A36,'Summary Data (40)'!$C$2:$N$246,11,0)</f>
        <v>0</v>
      </c>
      <c r="V36" s="3">
        <f>VLOOKUP($A36,'Summary Data (40)'!$C$2:$N$246,12,1)</f>
        <v>0</v>
      </c>
      <c r="W36" s="3">
        <f>VLOOKUP($A36,'Summary Data (40)'!$C$2:$N$246,11,1)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(40)'!$C$2:$L$246,3,0)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(40)'!$C$2:$L$246,5,1)</f>
        <v>0.48716229999999999</v>
      </c>
      <c r="G37" s="3">
        <f>VLOOKUP($A37,'Summary Data (40)'!$C$2:$L$246,6,1)</f>
        <v>1.6</v>
      </c>
      <c r="H37" s="3">
        <f>VLOOKUP($A37,'Summary Data (40)'!$C$2:$L$246,7,1)</f>
        <v>-6.8351889999999997</v>
      </c>
      <c r="I37" s="3" t="str">
        <f>VLOOKUP($A37,'Summary Data (40)'!$C$2:$L$246,4,0)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9.5707935016205568</v>
      </c>
      <c r="N37" s="3">
        <f t="shared" si="1"/>
        <v>11.88716163495989</v>
      </c>
      <c r="O37" s="3">
        <f t="shared" si="2"/>
        <v>4.3329067610554466</v>
      </c>
      <c r="P37" s="3">
        <f t="shared" si="3"/>
        <v>7.5542548739044433</v>
      </c>
      <c r="Q37" s="5">
        <f t="shared" si="4"/>
        <v>1.7434612121827227</v>
      </c>
      <c r="R37" s="3">
        <f t="shared" si="5"/>
        <v>-19.074748100261683</v>
      </c>
      <c r="S37" s="3">
        <f t="shared" si="6"/>
        <v>-67.410536986130111</v>
      </c>
      <c r="T37" s="3">
        <f t="shared" si="7"/>
        <v>48.335788885868425</v>
      </c>
      <c r="U37" s="3">
        <f>VLOOKUP($A37,'Summary Data (40)'!$C$2:$N$246,11,0)</f>
        <v>0</v>
      </c>
      <c r="V37" s="3">
        <f>VLOOKUP($A37,'Summary Data (40)'!$C$2:$N$246,12,1)</f>
        <v>0</v>
      </c>
      <c r="W37" s="3">
        <f>VLOOKUP($A37,'Summary Data (40)'!$C$2:$N$246,11,1)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(40)'!$C$2:$L$246,3,0)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(40)'!$C$2:$L$246,5,1)</f>
        <v>2.659897</v>
      </c>
      <c r="G38" s="3">
        <f>VLOOKUP($A38,'Summary Data (40)'!$C$2:$L$246,6,1)</f>
        <v>1.6</v>
      </c>
      <c r="H38" s="3">
        <f>VLOOKUP($A38,'Summary Data (40)'!$C$2:$L$246,7,1)</f>
        <v>-2.2097509999999998</v>
      </c>
      <c r="I38" s="3" t="str">
        <f>VLOOKUP($A38,'Summary Data (40)'!$C$2:$L$246,4,0)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4.0894057642413033</v>
      </c>
      <c r="N38" s="3">
        <f t="shared" si="1"/>
        <v>6.6893593590574874</v>
      </c>
      <c r="O38" s="3">
        <f t="shared" si="2"/>
        <v>8.0292617967033557</v>
      </c>
      <c r="P38" s="3">
        <f t="shared" si="3"/>
        <v>-1.3399024376458684</v>
      </c>
      <c r="Q38" s="5">
        <f t="shared" si="4"/>
        <v>-0.16687741308871057</v>
      </c>
      <c r="R38" s="3">
        <f t="shared" si="5"/>
        <v>23.666151625811782</v>
      </c>
      <c r="S38" s="3">
        <f t="shared" si="6"/>
        <v>-6.9009707273693719</v>
      </c>
      <c r="T38" s="3">
        <f t="shared" si="7"/>
        <v>30.567122353181155</v>
      </c>
      <c r="U38" s="3">
        <f>VLOOKUP($A38,'Summary Data (40)'!$C$2:$N$246,11,0)</f>
        <v>0</v>
      </c>
      <c r="V38" s="3">
        <f>VLOOKUP($A38,'Summary Data (40)'!$C$2:$N$246,12,1)</f>
        <v>0</v>
      </c>
      <c r="W38" s="3">
        <f>VLOOKUP($A38,'Summary Data (40)'!$C$2:$N$246,11,1)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(40)'!$C$2:$L$246,3,0)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(40)'!$C$2:$L$246,5,1)</f>
        <v>-5.1200960000000002</v>
      </c>
      <c r="G39" s="3">
        <f>VLOOKUP($A39,'Summary Data (40)'!$C$2:$L$246,6,1)</f>
        <v>1.6</v>
      </c>
      <c r="H39" s="3">
        <f>VLOOKUP($A39,'Summary Data (40)'!$C$2:$L$246,7,1)</f>
        <v>-3.248707</v>
      </c>
      <c r="I39" s="3" t="str">
        <f>VLOOKUP($A39,'Summary Data (40)'!$C$2:$L$246,4,0)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3.4881597384674055</v>
      </c>
      <c r="N39" s="3">
        <f t="shared" si="1"/>
        <v>9.3979490238596739</v>
      </c>
      <c r="O39" s="3">
        <f t="shared" si="2"/>
        <v>8.0641771433916301</v>
      </c>
      <c r="P39" s="3">
        <f t="shared" si="3"/>
        <v>1.3337718804680438</v>
      </c>
      <c r="Q39" s="5">
        <f t="shared" si="4"/>
        <v>0.16539466541369729</v>
      </c>
      <c r="R39" s="3">
        <f t="shared" si="5"/>
        <v>174.57078263739461</v>
      </c>
      <c r="S39" s="3">
        <f t="shared" si="6"/>
        <v>-164.09332965372897</v>
      </c>
      <c r="T39" s="3">
        <f t="shared" si="7"/>
        <v>21.335887708876385</v>
      </c>
      <c r="U39" s="3">
        <f>VLOOKUP($A39,'Summary Data (40)'!$C$2:$N$246,11,0)</f>
        <v>0</v>
      </c>
      <c r="V39" s="3">
        <f>VLOOKUP($A39,'Summary Data (40)'!$C$2:$N$246,12,1)</f>
        <v>0</v>
      </c>
      <c r="W39" s="3">
        <f>VLOOKUP($A39,'Summary Data (40)'!$C$2:$N$246,11,1)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(40)'!$C$2:$L$246,3,0)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(40)'!$C$2:$L$246,5,1)</f>
        <v>-1.543517</v>
      </c>
      <c r="G40" s="3">
        <f>VLOOKUP($A40,'Summary Data (40)'!$C$2:$L$246,6,1)</f>
        <v>1.6</v>
      </c>
      <c r="H40" s="3">
        <f>VLOOKUP($A40,'Summary Data (40)'!$C$2:$L$246,7,1)</f>
        <v>-4.0439020000000001</v>
      </c>
      <c r="I40" s="3" t="str">
        <f>VLOOKUP($A40,'Summary Data (40)'!$C$2:$L$246,4,0)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5.0684091274178922</v>
      </c>
      <c r="N40" s="3">
        <f t="shared" si="1"/>
        <v>6.9452567090708026</v>
      </c>
      <c r="O40" s="3">
        <f t="shared" si="2"/>
        <v>7.8871175977032326</v>
      </c>
      <c r="P40" s="3">
        <f t="shared" si="3"/>
        <v>-0.94186088863243</v>
      </c>
      <c r="Q40" s="5">
        <f t="shared" si="4"/>
        <v>-0.11941762969360373</v>
      </c>
      <c r="R40" s="3">
        <f t="shared" si="5"/>
        <v>-63.65586590726528</v>
      </c>
      <c r="S40" s="3">
        <f t="shared" si="6"/>
        <v>-102.97607599532536</v>
      </c>
      <c r="T40" s="3">
        <f t="shared" si="7"/>
        <v>39.32021008806008</v>
      </c>
      <c r="U40" s="3">
        <f>VLOOKUP($A40,'Summary Data (40)'!$C$2:$N$246,11,0)</f>
        <v>0</v>
      </c>
      <c r="V40" s="3">
        <f>VLOOKUP($A40,'Summary Data (40)'!$C$2:$N$246,12,1)</f>
        <v>0</v>
      </c>
      <c r="W40" s="3">
        <f>VLOOKUP($A40,'Summary Data (40)'!$C$2:$N$246,11,1)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(40)'!$C$2:$L$246,3,0)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(40)'!$C$2:$L$246,5,1)</f>
        <v>3.3453580000000001</v>
      </c>
      <c r="G41" s="3">
        <f>VLOOKUP($A41,'Summary Data (40)'!$C$2:$L$246,6,1)</f>
        <v>1.6</v>
      </c>
      <c r="H41" s="3">
        <f>VLOOKUP($A41,'Summary Data (40)'!$C$2:$L$246,7,1)</f>
        <v>1.3909959999999999</v>
      </c>
      <c r="I41" s="3" t="str">
        <f>VLOOKUP($A41,'Summary Data (40)'!$C$2:$L$246,4,0)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7.9169510990140637</v>
      </c>
      <c r="N41" s="3">
        <f t="shared" si="1"/>
        <v>6.9238030506492603</v>
      </c>
      <c r="O41" s="3">
        <f t="shared" si="2"/>
        <v>8.8659173242253964</v>
      </c>
      <c r="P41" s="3">
        <f t="shared" si="3"/>
        <v>-1.9421142735761361</v>
      </c>
      <c r="Q41" s="5">
        <f t="shared" si="4"/>
        <v>-0.2190539571432126</v>
      </c>
      <c r="R41" s="3">
        <f t="shared" si="5"/>
        <v>111.35858600069317</v>
      </c>
      <c r="S41" s="3">
        <f t="shared" si="6"/>
        <v>52.704018870558549</v>
      </c>
      <c r="T41" s="3">
        <f t="shared" si="7"/>
        <v>58.654567130134616</v>
      </c>
      <c r="U41" s="3">
        <f>VLOOKUP($A41,'Summary Data (40)'!$C$2:$N$246,11,0)</f>
        <v>0</v>
      </c>
      <c r="V41" s="3">
        <f>VLOOKUP($A41,'Summary Data (40)'!$C$2:$N$246,12,1)</f>
        <v>0</v>
      </c>
      <c r="W41" s="3">
        <f>VLOOKUP($A41,'Summary Data (40)'!$C$2:$N$246,11,1)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1.3500947734990967</v>
      </c>
      <c r="T42" s="3">
        <f>AVERAGE(T2:T41)</f>
        <v>65.754942543320936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24" sqref="B24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2017-09-13T11:33:03Z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