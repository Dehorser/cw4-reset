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7CPSL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C4" i="3"/>
  <c r="C13" i="3"/>
  <c r="J18" i="3"/>
  <c r="M18" i="3" s="1"/>
  <c r="D4" i="3"/>
  <c r="C12" i="3"/>
  <c r="D13" i="3"/>
  <c r="C39" i="3"/>
  <c r="N39" i="3" s="1"/>
  <c r="D36" i="3"/>
  <c r="L40" i="3"/>
  <c r="D3" i="3"/>
  <c r="L7" i="3"/>
  <c r="L9" i="3"/>
  <c r="E12" i="3"/>
  <c r="N12" i="3" s="1"/>
  <c r="C22" i="3"/>
  <c r="C28" i="3"/>
  <c r="S28" i="3" s="1"/>
  <c r="J29" i="3"/>
  <c r="J5" i="3"/>
  <c r="M5" i="3" s="1"/>
  <c r="E22" i="3"/>
  <c r="L25" i="3"/>
  <c r="E28" i="3"/>
  <c r="K29" i="3"/>
  <c r="D35" i="3"/>
  <c r="C36" i="3"/>
  <c r="N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E33" i="3"/>
  <c r="J36" i="3"/>
  <c r="J40" i="3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M6" i="3" s="1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D7" i="3"/>
  <c r="C10" i="3"/>
  <c r="E10" i="3"/>
  <c r="D10" i="3"/>
  <c r="W13" i="3"/>
  <c r="S16" i="3"/>
  <c r="V18" i="3"/>
  <c r="Y18" i="3" s="1"/>
  <c r="S22" i="3"/>
  <c r="L2" i="3"/>
  <c r="M2" i="3" s="1"/>
  <c r="E5" i="3"/>
  <c r="N5" i="3" s="1"/>
  <c r="E6" i="3"/>
  <c r="E7" i="3"/>
  <c r="N7" i="3" s="1"/>
  <c r="J11" i="3"/>
  <c r="L11" i="3"/>
  <c r="K11" i="3"/>
  <c r="C14" i="3"/>
  <c r="E14" i="3"/>
  <c r="D14" i="3"/>
  <c r="W17" i="3"/>
  <c r="U7" i="3"/>
  <c r="K8" i="3"/>
  <c r="J8" i="3"/>
  <c r="V10" i="3"/>
  <c r="Y10" i="3" s="1"/>
  <c r="M14" i="3"/>
  <c r="J15" i="3"/>
  <c r="L15" i="3"/>
  <c r="K15" i="3"/>
  <c r="C18" i="3"/>
  <c r="E18" i="3"/>
  <c r="D18" i="3"/>
  <c r="M21" i="3"/>
  <c r="W22" i="3"/>
  <c r="M25" i="3"/>
  <c r="V7" i="3"/>
  <c r="L8" i="3"/>
  <c r="W9" i="3"/>
  <c r="V14" i="3"/>
  <c r="Y14" i="3" s="1"/>
  <c r="J19" i="3"/>
  <c r="L19" i="3"/>
  <c r="K19" i="3"/>
  <c r="L22" i="3"/>
  <c r="J22" i="3"/>
  <c r="K22" i="3"/>
  <c r="M9" i="3"/>
  <c r="C11" i="3"/>
  <c r="J12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E41" i="3"/>
  <c r="D41" i="3"/>
  <c r="L34" i="3"/>
  <c r="K34" i="3"/>
  <c r="L38" i="3"/>
  <c r="K38" i="3"/>
  <c r="M33" i="3"/>
  <c r="J34" i="3"/>
  <c r="K35" i="3"/>
  <c r="J35" i="3"/>
  <c r="J38" i="3"/>
  <c r="K39" i="3"/>
  <c r="J39" i="3"/>
  <c r="M40" i="3"/>
  <c r="S18" i="3" l="1"/>
  <c r="S36" i="3"/>
  <c r="M7" i="3"/>
  <c r="S39" i="3"/>
  <c r="N30" i="3"/>
  <c r="R36" i="3"/>
  <c r="T36" i="3" s="1"/>
  <c r="M13" i="3"/>
  <c r="M4" i="3"/>
  <c r="S34" i="3"/>
  <c r="N19" i="3"/>
  <c r="M36" i="3"/>
  <c r="N20" i="3"/>
  <c r="O13" i="3"/>
  <c r="P13" i="3" s="1"/>
  <c r="Q13" i="3" s="1"/>
  <c r="O5" i="3"/>
  <c r="P5" i="3" s="1"/>
  <c r="Q5" i="3" s="1"/>
  <c r="M23" i="3"/>
  <c r="N32" i="3"/>
  <c r="P32" i="3" s="1"/>
  <c r="Q32" i="3" s="1"/>
  <c r="R4" i="3"/>
  <c r="T4" i="3" s="1"/>
  <c r="O37" i="3"/>
  <c r="O33" i="3"/>
  <c r="S25" i="3"/>
  <c r="O10" i="3"/>
  <c r="M27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P39" i="3"/>
  <c r="Q39" i="3" s="1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R33" i="3"/>
  <c r="X9" i="3"/>
  <c r="Z9" i="3"/>
  <c r="O14" i="3"/>
  <c r="P14" i="3" s="1"/>
  <c r="Q14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8" i="3" l="1"/>
  <c r="T25" i="3"/>
  <c r="P8" i="3"/>
  <c r="Q8" i="3" s="1"/>
  <c r="T33" i="3"/>
  <c r="T27" i="3"/>
  <c r="P25" i="3"/>
  <c r="Q25" i="3" s="1"/>
  <c r="T11" i="3"/>
  <c r="T31" i="3"/>
  <c r="T5" i="3"/>
  <c r="P37" i="3"/>
  <c r="Q37" i="3" s="1"/>
  <c r="P6" i="3"/>
  <c r="Q6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<sst xmlns="http://schemas.openxmlformats.org/spreadsheetml/2006/main" count="394" uniqueCount="37">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</sst>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2" sqref="A2:XFD2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42970.486608796295</v>
      </c>
      <c r="B2">
        <v>382.26350000000002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1.701155</v>
      </c>
      <c r="I2">
        <v>-4.117</v>
      </c>
      <c r="J2">
        <v>4.0924639999999997</v>
      </c>
      <c r="K2">
        <v>54.740470000000002</v>
      </c>
      <c r="L2">
        <v>353.33780000000002</v>
      </c>
    </row>
    <row r="3" spans="1:12" x14ac:dyDescent="0.2">
      <c r="A3" s="1">
        <v>42970.486770833333</v>
      </c>
      <c r="B3">
        <v>396.85890000000001</v>
      </c>
      <c r="C3">
        <v>0</v>
      </c>
      <c r="D3" t="s">
        <v>35</v>
      </c>
      <c r="E3" t="s">
        <v>0</v>
      </c>
      <c r="F3" t="s">
        <v>1</v>
      </c>
      <c r="G3">
        <v>-0.76502879999999995</v>
      </c>
      <c r="H3">
        <v>1.7202170000000001</v>
      </c>
      <c r="I3">
        <v>-4.1289930000000004</v>
      </c>
      <c r="J3">
        <v>8.3984480000000001</v>
      </c>
      <c r="K3">
        <v>36.60886</v>
      </c>
      <c r="L3">
        <v>351.87049999999999</v>
      </c>
    </row>
    <row r="4" spans="1:12" x14ac:dyDescent="0.2">
      <c r="A4" s="1">
        <v>42970.48709490741</v>
      </c>
      <c r="B4">
        <v>424.64609999999999</v>
      </c>
      <c r="C4">
        <v>0</v>
      </c>
      <c r="D4" t="s">
        <v>36</v>
      </c>
      <c r="E4" t="s">
        <v>0</v>
      </c>
      <c r="F4" t="s">
        <v>1</v>
      </c>
      <c r="G4">
        <v>-4.0473470000000002</v>
      </c>
      <c r="H4">
        <v>1.744359</v>
      </c>
      <c r="I4">
        <v>-0.9192977</v>
      </c>
      <c r="J4">
        <v>5.0467620000000002</v>
      </c>
      <c r="K4">
        <v>11.864570000000001</v>
      </c>
      <c r="L4">
        <v>352.49680000000001</v>
      </c>
    </row>
    <row r="5" spans="1:12" x14ac:dyDescent="0.2">
      <c r="A5" s="1">
        <v>42970.48715277778</v>
      </c>
      <c r="B5">
        <v>429.50060000000002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1.7365360000000001</v>
      </c>
      <c r="I5">
        <v>-4.3440000000000003</v>
      </c>
      <c r="J5">
        <v>5.2522840000000004</v>
      </c>
      <c r="K5">
        <v>11.61219</v>
      </c>
      <c r="L5">
        <v>353.31380000000001</v>
      </c>
    </row>
    <row r="6" spans="1:12" x14ac:dyDescent="0.2">
      <c r="A6" s="1">
        <v>42970.487245370372</v>
      </c>
      <c r="B6">
        <v>437.50170000000003</v>
      </c>
      <c r="C6">
        <v>1</v>
      </c>
      <c r="D6" t="s">
        <v>35</v>
      </c>
      <c r="E6" t="s">
        <v>2</v>
      </c>
      <c r="F6" t="s">
        <v>0</v>
      </c>
      <c r="G6">
        <v>3.7526290000000002</v>
      </c>
      <c r="H6">
        <v>1.728413</v>
      </c>
      <c r="I6">
        <v>-4.547218</v>
      </c>
      <c r="J6">
        <v>7.8238269999999996</v>
      </c>
      <c r="K6">
        <v>155.13319999999999</v>
      </c>
      <c r="L6">
        <v>354.64429999999999</v>
      </c>
    </row>
    <row r="7" spans="1:12" x14ac:dyDescent="0.2">
      <c r="A7" s="1">
        <v>42970.487442129626</v>
      </c>
      <c r="B7">
        <v>454.40859999999998</v>
      </c>
      <c r="C7">
        <v>1</v>
      </c>
      <c r="D7" t="s">
        <v>36</v>
      </c>
      <c r="E7" t="s">
        <v>2</v>
      </c>
      <c r="F7" t="s">
        <v>0</v>
      </c>
      <c r="G7">
        <v>1.599178</v>
      </c>
      <c r="H7">
        <v>1.7174769999999999</v>
      </c>
      <c r="I7">
        <v>-5.2668910000000002</v>
      </c>
      <c r="J7">
        <v>3.456207</v>
      </c>
      <c r="K7">
        <v>98.831100000000006</v>
      </c>
      <c r="L7">
        <v>354.05279999999999</v>
      </c>
    </row>
    <row r="8" spans="1:12" x14ac:dyDescent="0.2">
      <c r="A8" s="1">
        <v>42970.487488425926</v>
      </c>
      <c r="B8">
        <v>458.05770000000001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1.7062550000000001</v>
      </c>
      <c r="I8">
        <v>1.8169999999999999</v>
      </c>
      <c r="J8">
        <v>6.5977519999999998</v>
      </c>
      <c r="K8">
        <v>97.440799999999996</v>
      </c>
      <c r="L8">
        <v>352.11880000000002</v>
      </c>
    </row>
    <row r="9" spans="1:12" x14ac:dyDescent="0.2">
      <c r="A9" s="1">
        <v>42970.487604166665</v>
      </c>
      <c r="B9">
        <v>467.93389999999999</v>
      </c>
      <c r="C9">
        <v>2</v>
      </c>
      <c r="D9" t="s">
        <v>35</v>
      </c>
      <c r="E9" t="s">
        <v>3</v>
      </c>
      <c r="F9" t="s">
        <v>4</v>
      </c>
      <c r="G9">
        <v>3.4831189999999999</v>
      </c>
      <c r="H9">
        <v>1.713468</v>
      </c>
      <c r="I9">
        <v>2.017709</v>
      </c>
      <c r="J9">
        <v>3.9113869999999999</v>
      </c>
      <c r="K9">
        <v>234.16589999999999</v>
      </c>
      <c r="L9">
        <v>353.46300000000002</v>
      </c>
    </row>
    <row r="10" spans="1:12" x14ac:dyDescent="0.2">
      <c r="A10" s="1">
        <v>42970.487696759257</v>
      </c>
      <c r="B10">
        <v>476.80509999999998</v>
      </c>
      <c r="C10">
        <v>2</v>
      </c>
      <c r="D10" t="s">
        <v>36</v>
      </c>
      <c r="E10" t="s">
        <v>3</v>
      </c>
      <c r="F10" t="s">
        <v>4</v>
      </c>
      <c r="G10">
        <v>4.2175060000000002</v>
      </c>
      <c r="H10">
        <v>1.6972739999999999</v>
      </c>
      <c r="I10">
        <v>0.96493700000000004</v>
      </c>
      <c r="J10">
        <v>5.1712069999999999</v>
      </c>
      <c r="K10">
        <v>25.004090000000001</v>
      </c>
      <c r="L10">
        <v>352.13720000000001</v>
      </c>
    </row>
    <row r="11" spans="1:12" x14ac:dyDescent="0.2">
      <c r="A11" s="1">
        <v>42970.487881944442</v>
      </c>
      <c r="B11">
        <v>492.63909999999998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1.7368600000000001</v>
      </c>
      <c r="I11">
        <v>4.1399999999999997</v>
      </c>
      <c r="J11">
        <v>5.6283779999999997</v>
      </c>
      <c r="K11">
        <v>200.87799999999999</v>
      </c>
      <c r="L11">
        <v>352.57389999999998</v>
      </c>
    </row>
    <row r="12" spans="1:12" x14ac:dyDescent="0.2">
      <c r="A12" s="1">
        <v>42970.487951388888</v>
      </c>
      <c r="B12">
        <v>497.96159999999998</v>
      </c>
      <c r="C12">
        <v>3</v>
      </c>
      <c r="D12" t="s">
        <v>35</v>
      </c>
      <c r="E12" t="s">
        <v>1</v>
      </c>
      <c r="F12" t="s">
        <v>5</v>
      </c>
      <c r="G12">
        <v>-3.9521540000000002</v>
      </c>
      <c r="H12">
        <v>1.7417670000000001</v>
      </c>
      <c r="I12">
        <v>3.9542799999999998</v>
      </c>
      <c r="J12">
        <v>3.7536049999999999</v>
      </c>
      <c r="K12">
        <v>323.00920000000002</v>
      </c>
      <c r="L12">
        <v>355.12909999999999</v>
      </c>
    </row>
    <row r="13" spans="1:12" x14ac:dyDescent="0.2">
      <c r="A13" s="1">
        <v>42970.488182870373</v>
      </c>
      <c r="B13">
        <v>518.90020000000004</v>
      </c>
      <c r="C13">
        <v>3</v>
      </c>
      <c r="D13" t="s">
        <v>36</v>
      </c>
      <c r="E13" t="s">
        <v>1</v>
      </c>
      <c r="F13" t="s">
        <v>5</v>
      </c>
      <c r="G13">
        <v>-1.1784730000000001</v>
      </c>
      <c r="H13">
        <v>1.7364889999999999</v>
      </c>
      <c r="I13">
        <v>0.73543069999999999</v>
      </c>
      <c r="J13">
        <v>3.2693349999999999</v>
      </c>
      <c r="K13">
        <v>170.71199999999999</v>
      </c>
      <c r="L13">
        <v>351.56319999999999</v>
      </c>
    </row>
    <row r="14" spans="1:12" x14ac:dyDescent="0.2">
      <c r="A14" s="1">
        <v>42970.488206018519</v>
      </c>
      <c r="B14">
        <v>520.18899999999996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1.7356750000000001</v>
      </c>
      <c r="I14">
        <v>-0.67300000000000004</v>
      </c>
      <c r="J14">
        <v>4.9926979999999999</v>
      </c>
      <c r="K14">
        <v>167.30260000000001</v>
      </c>
      <c r="L14">
        <v>352.16590000000002</v>
      </c>
    </row>
    <row r="15" spans="1:12" x14ac:dyDescent="0.2">
      <c r="A15" s="1">
        <v>42970.488240740742</v>
      </c>
      <c r="B15">
        <v>523.87139999999999</v>
      </c>
      <c r="C15">
        <v>4</v>
      </c>
      <c r="D15" t="s">
        <v>35</v>
      </c>
      <c r="E15" t="s">
        <v>4</v>
      </c>
      <c r="F15" t="s">
        <v>6</v>
      </c>
      <c r="G15">
        <v>4.0979939999999999</v>
      </c>
      <c r="H15">
        <v>1.728353</v>
      </c>
      <c r="I15">
        <v>-0.55668379999999995</v>
      </c>
      <c r="J15">
        <v>6.1335230000000003</v>
      </c>
      <c r="K15">
        <v>92.681340000000006</v>
      </c>
      <c r="L15">
        <v>351.29</v>
      </c>
    </row>
    <row r="16" spans="1:12" x14ac:dyDescent="0.2">
      <c r="A16" s="1">
        <v>42970.488425925927</v>
      </c>
      <c r="B16">
        <v>539.21990000000005</v>
      </c>
      <c r="C16">
        <v>4</v>
      </c>
      <c r="D16" t="s">
        <v>36</v>
      </c>
      <c r="E16" t="s">
        <v>4</v>
      </c>
      <c r="F16" t="s">
        <v>6</v>
      </c>
      <c r="G16">
        <v>0.78415559999999995</v>
      </c>
      <c r="H16">
        <v>1.741195</v>
      </c>
      <c r="I16">
        <v>-1.7101310000000001</v>
      </c>
      <c r="J16">
        <v>2.2602159999999998</v>
      </c>
      <c r="K16">
        <v>69.93486</v>
      </c>
      <c r="L16">
        <v>354.59679999999997</v>
      </c>
    </row>
    <row r="17" spans="1:12" x14ac:dyDescent="0.2">
      <c r="A17" s="1">
        <v>42970.48847222222</v>
      </c>
      <c r="B17">
        <v>543.00239999999997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1.7334860000000001</v>
      </c>
      <c r="I17">
        <v>-4.117</v>
      </c>
      <c r="J17">
        <v>3.0427360000000001</v>
      </c>
      <c r="K17">
        <v>64.174729999999997</v>
      </c>
      <c r="L17">
        <v>352.31150000000002</v>
      </c>
    </row>
    <row r="18" spans="1:12" x14ac:dyDescent="0.2">
      <c r="A18" s="1">
        <v>42970.488541666666</v>
      </c>
      <c r="B18">
        <v>548.99450000000002</v>
      </c>
      <c r="C18">
        <v>5</v>
      </c>
      <c r="D18" t="s">
        <v>35</v>
      </c>
      <c r="E18" t="s">
        <v>0</v>
      </c>
      <c r="F18" t="s">
        <v>1</v>
      </c>
      <c r="G18">
        <v>-0.58362639999999999</v>
      </c>
      <c r="H18">
        <v>1.7032149999999999</v>
      </c>
      <c r="I18">
        <v>-4.1325139999999996</v>
      </c>
      <c r="J18">
        <v>18.037749999999999</v>
      </c>
      <c r="K18">
        <v>288.82369999999997</v>
      </c>
      <c r="L18">
        <v>356.40499999999997</v>
      </c>
    </row>
    <row r="19" spans="1:12" x14ac:dyDescent="0.2">
      <c r="A19" s="1">
        <v>42970.488715277781</v>
      </c>
      <c r="B19">
        <v>564.69370000000004</v>
      </c>
      <c r="C19">
        <v>5</v>
      </c>
      <c r="D19" t="s">
        <v>36</v>
      </c>
      <c r="E19" t="s">
        <v>0</v>
      </c>
      <c r="F19" t="s">
        <v>1</v>
      </c>
      <c r="G19">
        <v>-2.1513270000000002</v>
      </c>
      <c r="H19">
        <v>1.7377530000000001</v>
      </c>
      <c r="I19">
        <v>-1.0859939999999999</v>
      </c>
      <c r="J19">
        <v>4.0519340000000001</v>
      </c>
      <c r="K19">
        <v>14.299580000000001</v>
      </c>
      <c r="L19">
        <v>351.9649</v>
      </c>
    </row>
    <row r="20" spans="1:12" x14ac:dyDescent="0.2">
      <c r="A20" s="1">
        <v>42970.488749999997</v>
      </c>
      <c r="B20">
        <v>567.42160000000001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1.7290730000000001</v>
      </c>
      <c r="I20">
        <v>-1.4059999999999999</v>
      </c>
      <c r="J20">
        <v>6.0979099999999997</v>
      </c>
      <c r="K20">
        <v>11.268840000000001</v>
      </c>
      <c r="L20">
        <v>350.04790000000003</v>
      </c>
    </row>
    <row r="21" spans="1:12" x14ac:dyDescent="0.2">
      <c r="A21" s="1">
        <v>42970.488819444443</v>
      </c>
      <c r="B21">
        <v>573.56389999999999</v>
      </c>
      <c r="C21">
        <v>6</v>
      </c>
      <c r="D21" t="s">
        <v>35</v>
      </c>
      <c r="E21" t="s">
        <v>33</v>
      </c>
      <c r="F21" t="s">
        <v>3</v>
      </c>
      <c r="G21">
        <v>-3.8443580000000002</v>
      </c>
      <c r="H21">
        <v>1.71377</v>
      </c>
      <c r="I21">
        <v>-1.5988709999999999</v>
      </c>
      <c r="J21">
        <v>12.7788</v>
      </c>
      <c r="K21">
        <v>129.6601</v>
      </c>
      <c r="L21">
        <v>355.65750000000003</v>
      </c>
    </row>
    <row r="22" spans="1:12" x14ac:dyDescent="0.2">
      <c r="A22" s="1">
        <v>42970.488969907405</v>
      </c>
      <c r="B22">
        <v>586.5856</v>
      </c>
      <c r="C22">
        <v>6</v>
      </c>
      <c r="D22" t="s">
        <v>36</v>
      </c>
      <c r="E22" t="s">
        <v>33</v>
      </c>
      <c r="F22" t="s">
        <v>3</v>
      </c>
      <c r="G22">
        <v>-1.7117880000000001</v>
      </c>
      <c r="H22">
        <v>1.732756</v>
      </c>
      <c r="I22">
        <v>-0.8108419</v>
      </c>
      <c r="J22">
        <v>5.2943249999999997</v>
      </c>
      <c r="K22">
        <v>320.59469999999999</v>
      </c>
      <c r="L22">
        <v>351.94349999999997</v>
      </c>
    </row>
    <row r="23" spans="1:12" x14ac:dyDescent="0.2">
      <c r="A23" s="1">
        <v>42970.489004629628</v>
      </c>
      <c r="B23">
        <v>588.94560000000001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1.7314259999999999</v>
      </c>
      <c r="I23">
        <v>4.1399999999999997</v>
      </c>
      <c r="J23">
        <v>6.4356340000000003</v>
      </c>
      <c r="K23">
        <v>318.67259999999999</v>
      </c>
      <c r="L23">
        <v>351.43400000000003</v>
      </c>
    </row>
    <row r="24" spans="1:12" x14ac:dyDescent="0.2">
      <c r="A24" s="1">
        <v>42970.489027777781</v>
      </c>
      <c r="B24">
        <v>591.1884</v>
      </c>
      <c r="C24">
        <v>7</v>
      </c>
      <c r="D24" t="s">
        <v>35</v>
      </c>
      <c r="E24" t="s">
        <v>1</v>
      </c>
      <c r="F24" t="s">
        <v>5</v>
      </c>
      <c r="G24">
        <v>-4.0359720000000001</v>
      </c>
      <c r="H24">
        <v>1.7320599999999999</v>
      </c>
      <c r="I24">
        <v>4.0388780000000004</v>
      </c>
      <c r="J24">
        <v>7.6055840000000003</v>
      </c>
      <c r="K24">
        <v>9.9883880000000005</v>
      </c>
      <c r="L24">
        <v>353.88560000000001</v>
      </c>
    </row>
    <row r="25" spans="1:12" x14ac:dyDescent="0.2">
      <c r="A25" s="1">
        <v>42970.489212962966</v>
      </c>
      <c r="B25">
        <v>607.91</v>
      </c>
      <c r="C25">
        <v>7</v>
      </c>
      <c r="D25" t="s">
        <v>36</v>
      </c>
      <c r="E25" t="s">
        <v>1</v>
      </c>
      <c r="F25" t="s">
        <v>5</v>
      </c>
      <c r="G25">
        <v>-1.0585869999999999</v>
      </c>
      <c r="H25">
        <v>1.7279370000000001</v>
      </c>
      <c r="I25">
        <v>1.144269</v>
      </c>
      <c r="J25">
        <v>4.0807270000000004</v>
      </c>
      <c r="K25">
        <v>228.41050000000001</v>
      </c>
      <c r="L25">
        <v>353.99250000000001</v>
      </c>
    </row>
    <row r="26" spans="1:12" x14ac:dyDescent="0.2">
      <c r="A26" s="1">
        <v>42970.489236111112</v>
      </c>
      <c r="B26">
        <v>609.63400000000001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1.728102</v>
      </c>
      <c r="I26">
        <v>-4.3440000000000003</v>
      </c>
      <c r="J26">
        <v>5.4937259999999997</v>
      </c>
      <c r="K26">
        <v>228.36359999999999</v>
      </c>
      <c r="L26">
        <v>352.11660000000001</v>
      </c>
    </row>
    <row r="27" spans="1:12" x14ac:dyDescent="0.2">
      <c r="A27" s="1">
        <v>42970.489270833335</v>
      </c>
      <c r="B27">
        <v>612.02760000000001</v>
      </c>
      <c r="C27">
        <v>8</v>
      </c>
      <c r="D27" t="s">
        <v>35</v>
      </c>
      <c r="E27" t="s">
        <v>2</v>
      </c>
      <c r="F27" t="s">
        <v>0</v>
      </c>
      <c r="G27">
        <v>3.5614430000000001</v>
      </c>
      <c r="H27">
        <v>1.7221249999999999</v>
      </c>
      <c r="I27">
        <v>-4.3368710000000004</v>
      </c>
      <c r="J27">
        <v>7.7473999999999998</v>
      </c>
      <c r="K27">
        <v>193.58779999999999</v>
      </c>
      <c r="L27">
        <v>351.33890000000002</v>
      </c>
    </row>
    <row r="28" spans="1:12" x14ac:dyDescent="0.2">
      <c r="A28" s="1">
        <v>42970.489444444444</v>
      </c>
      <c r="B28">
        <v>626.95799999999997</v>
      </c>
      <c r="C28">
        <v>8</v>
      </c>
      <c r="D28" t="s">
        <v>36</v>
      </c>
      <c r="E28" t="s">
        <v>2</v>
      </c>
      <c r="F28" t="s">
        <v>0</v>
      </c>
      <c r="G28">
        <v>1.3484989999999999</v>
      </c>
      <c r="H28">
        <v>1.728925</v>
      </c>
      <c r="I28">
        <v>-4.1805339999999998</v>
      </c>
      <c r="J28">
        <v>4.7522580000000003</v>
      </c>
      <c r="K28">
        <v>162.39429999999999</v>
      </c>
      <c r="L28">
        <v>354.5326</v>
      </c>
    </row>
    <row r="29" spans="1:12" x14ac:dyDescent="0.2">
      <c r="A29" s="1">
        <v>42970.48945601852</v>
      </c>
      <c r="B29">
        <v>627.96230000000003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1.72315</v>
      </c>
      <c r="I29">
        <v>-1.4059999999999999</v>
      </c>
      <c r="J29">
        <v>5.7837990000000001</v>
      </c>
      <c r="K29">
        <v>158.82509999999999</v>
      </c>
      <c r="L29">
        <v>353.36779999999999</v>
      </c>
    </row>
    <row r="30" spans="1:12" x14ac:dyDescent="0.2">
      <c r="A30" s="1">
        <v>42970.48951388889</v>
      </c>
      <c r="B30">
        <v>633.5865</v>
      </c>
      <c r="C30">
        <v>9</v>
      </c>
      <c r="D30" t="s">
        <v>35</v>
      </c>
      <c r="E30" t="s">
        <v>33</v>
      </c>
      <c r="F30" t="s">
        <v>3</v>
      </c>
      <c r="G30">
        <v>-3.751322</v>
      </c>
      <c r="H30">
        <v>1.7197929999999999</v>
      </c>
      <c r="I30">
        <v>-1.393972</v>
      </c>
      <c r="J30">
        <v>8.5800289999999997</v>
      </c>
      <c r="K30">
        <v>12.79691</v>
      </c>
      <c r="L30">
        <v>355.12430000000001</v>
      </c>
    </row>
    <row r="31" spans="1:12" x14ac:dyDescent="0.2">
      <c r="A31" s="1">
        <v>42970.49009259259</v>
      </c>
      <c r="B31">
        <v>683.24680000000001</v>
      </c>
      <c r="C31">
        <v>9</v>
      </c>
      <c r="D31" t="s">
        <v>36</v>
      </c>
      <c r="E31" t="s">
        <v>33</v>
      </c>
      <c r="F31" t="s">
        <v>3</v>
      </c>
      <c r="G31">
        <v>-2.5547569999999999</v>
      </c>
      <c r="H31">
        <v>1.708167</v>
      </c>
      <c r="I31">
        <v>-0.84504670000000004</v>
      </c>
      <c r="J31">
        <v>3.0116909999999999</v>
      </c>
      <c r="K31">
        <v>187.505</v>
      </c>
      <c r="L31">
        <v>354.74939999999998</v>
      </c>
    </row>
    <row r="32" spans="1:12" x14ac:dyDescent="0.2">
      <c r="A32" s="1">
        <v>42970.49015046296</v>
      </c>
      <c r="B32">
        <v>688.16740000000004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1.7376050000000001</v>
      </c>
      <c r="I32">
        <v>2.7240000000000002</v>
      </c>
      <c r="J32">
        <v>3.6473990000000001</v>
      </c>
      <c r="K32">
        <v>182.75360000000001</v>
      </c>
      <c r="L32">
        <v>353.02429999999998</v>
      </c>
    </row>
    <row r="33" spans="1:12" x14ac:dyDescent="0.2">
      <c r="A33" s="1">
        <v>42970.490219907406</v>
      </c>
      <c r="B33">
        <v>694.49390000000005</v>
      </c>
      <c r="C33">
        <v>10</v>
      </c>
      <c r="D33" t="s">
        <v>35</v>
      </c>
      <c r="E33" t="s">
        <v>5</v>
      </c>
      <c r="F33" t="s">
        <v>2</v>
      </c>
      <c r="G33">
        <v>9.6588859999999999E-2</v>
      </c>
      <c r="H33">
        <v>1.7387649999999999</v>
      </c>
      <c r="I33">
        <v>2.7134109999999998</v>
      </c>
      <c r="J33">
        <v>4.2554619999999996</v>
      </c>
      <c r="K33">
        <v>214.4359</v>
      </c>
      <c r="L33">
        <v>353.89760000000001</v>
      </c>
    </row>
    <row r="34" spans="1:12" x14ac:dyDescent="0.2">
      <c r="A34" s="1">
        <v>42970.490393518521</v>
      </c>
      <c r="B34">
        <v>709.22249999999997</v>
      </c>
      <c r="C34">
        <v>10</v>
      </c>
      <c r="D34" t="s">
        <v>36</v>
      </c>
      <c r="E34" t="s">
        <v>5</v>
      </c>
      <c r="F34" t="s">
        <v>2</v>
      </c>
      <c r="G34">
        <v>-2.0700940000000001</v>
      </c>
      <c r="H34">
        <v>1.740607</v>
      </c>
      <c r="I34">
        <v>-0.67016819999999999</v>
      </c>
      <c r="J34">
        <v>3.6122779999999999</v>
      </c>
      <c r="K34">
        <v>127.8415</v>
      </c>
      <c r="L34">
        <v>355.03519999999997</v>
      </c>
    </row>
    <row r="35" spans="1:12" x14ac:dyDescent="0.2">
      <c r="A35" s="1">
        <v>42970.490405092591</v>
      </c>
      <c r="B35">
        <v>710.52809999999999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1.7368129999999999</v>
      </c>
      <c r="I35">
        <v>-4.117</v>
      </c>
      <c r="J35">
        <v>6.7173449999999999</v>
      </c>
      <c r="K35">
        <v>127.04640000000001</v>
      </c>
      <c r="L35">
        <v>354.64150000000001</v>
      </c>
    </row>
    <row r="36" spans="1:12" x14ac:dyDescent="0.2">
      <c r="A36" s="1">
        <v>42970.490451388891</v>
      </c>
      <c r="B36">
        <v>714.66219999999998</v>
      </c>
      <c r="C36">
        <v>11</v>
      </c>
      <c r="D36" t="s">
        <v>35</v>
      </c>
      <c r="E36" t="s">
        <v>0</v>
      </c>
      <c r="F36" t="s">
        <v>1</v>
      </c>
      <c r="G36">
        <v>-0.69977429999999996</v>
      </c>
      <c r="H36">
        <v>1.7235769999999999</v>
      </c>
      <c r="I36">
        <v>-4.0722440000000004</v>
      </c>
      <c r="J36">
        <v>11.429790000000001</v>
      </c>
      <c r="K36">
        <v>66.381200000000007</v>
      </c>
      <c r="L36">
        <v>351.4008</v>
      </c>
    </row>
    <row r="37" spans="1:12" x14ac:dyDescent="0.2">
      <c r="A37" s="1">
        <v>42970.490682870368</v>
      </c>
      <c r="B37">
        <v>733.95929999999998</v>
      </c>
      <c r="C37">
        <v>11</v>
      </c>
      <c r="D37" t="s">
        <v>36</v>
      </c>
      <c r="E37" t="s">
        <v>0</v>
      </c>
      <c r="F37" t="s">
        <v>1</v>
      </c>
      <c r="G37">
        <v>-1.8053440000000001</v>
      </c>
      <c r="H37">
        <v>1.735981</v>
      </c>
      <c r="I37">
        <v>-1.2575940000000001</v>
      </c>
      <c r="J37">
        <v>4.5198650000000002</v>
      </c>
      <c r="K37">
        <v>250.58969999999999</v>
      </c>
      <c r="L37">
        <v>354.84609999999998</v>
      </c>
    </row>
    <row r="38" spans="1:12" x14ac:dyDescent="0.2">
      <c r="A38" s="1">
        <v>42970.490706018521</v>
      </c>
      <c r="B38">
        <v>736.01800000000003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1.7299260000000001</v>
      </c>
      <c r="I38">
        <v>1.8169999999999999</v>
      </c>
      <c r="J38">
        <v>6.9001239999999999</v>
      </c>
      <c r="K38">
        <v>249.17400000000001</v>
      </c>
      <c r="L38">
        <v>352.25779999999997</v>
      </c>
    </row>
    <row r="39" spans="1:12" x14ac:dyDescent="0.2">
      <c r="A39" s="1">
        <v>42970.490740740737</v>
      </c>
      <c r="B39">
        <v>739.18119999999999</v>
      </c>
      <c r="C39">
        <v>12</v>
      </c>
      <c r="D39" t="s">
        <v>35</v>
      </c>
      <c r="E39" t="s">
        <v>3</v>
      </c>
      <c r="F39" t="s">
        <v>4</v>
      </c>
      <c r="G39">
        <v>3.4244590000000001</v>
      </c>
      <c r="H39">
        <v>1.7309969999999999</v>
      </c>
      <c r="I39">
        <v>1.860449</v>
      </c>
      <c r="J39">
        <v>6.8582989999999997</v>
      </c>
      <c r="K39">
        <v>291.45429999999999</v>
      </c>
      <c r="L39">
        <v>349.99110000000002</v>
      </c>
    </row>
    <row r="40" spans="1:12" x14ac:dyDescent="0.2">
      <c r="A40" s="1">
        <v>42970.490833333337</v>
      </c>
      <c r="B40">
        <v>747.61630000000002</v>
      </c>
      <c r="C40">
        <v>12</v>
      </c>
      <c r="D40" t="s">
        <v>36</v>
      </c>
      <c r="E40" t="s">
        <v>3</v>
      </c>
      <c r="F40" t="s">
        <v>4</v>
      </c>
      <c r="G40">
        <v>4.2484640000000002</v>
      </c>
      <c r="H40">
        <v>1.713487</v>
      </c>
      <c r="I40">
        <v>1.346719</v>
      </c>
      <c r="J40">
        <v>5.6452270000000002</v>
      </c>
      <c r="K40">
        <v>197.48609999999999</v>
      </c>
      <c r="L40">
        <v>357.04230000000001</v>
      </c>
    </row>
    <row r="41" spans="1:12" x14ac:dyDescent="0.2">
      <c r="A41" s="1">
        <v>42970.490902777776</v>
      </c>
      <c r="B41">
        <v>753.07249999999999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1.7330890000000001</v>
      </c>
      <c r="I41">
        <v>-1.4059999999999999</v>
      </c>
      <c r="J41">
        <v>5.1492060000000004</v>
      </c>
      <c r="K41">
        <v>196.14869999999999</v>
      </c>
      <c r="L41">
        <v>353.05149999999998</v>
      </c>
    </row>
    <row r="42" spans="1:12" x14ac:dyDescent="0.2">
      <c r="A42" s="1">
        <v>42970.490937499999</v>
      </c>
      <c r="B42">
        <v>755.88419999999996</v>
      </c>
      <c r="C42">
        <v>13</v>
      </c>
      <c r="D42" t="s">
        <v>35</v>
      </c>
      <c r="E42" t="s">
        <v>33</v>
      </c>
      <c r="F42" t="s">
        <v>3</v>
      </c>
      <c r="G42">
        <v>-3.9185289999999999</v>
      </c>
      <c r="H42">
        <v>1.7126399999999999</v>
      </c>
      <c r="I42">
        <v>-1.4294629999999999</v>
      </c>
      <c r="J42">
        <v>14.573689999999999</v>
      </c>
      <c r="K42">
        <v>205.17490000000001</v>
      </c>
      <c r="L42">
        <v>350.91079999999999</v>
      </c>
    </row>
    <row r="43" spans="1:12" x14ac:dyDescent="0.2">
      <c r="A43" s="1">
        <v>42970.491076388891</v>
      </c>
      <c r="B43">
        <v>768.78869999999995</v>
      </c>
      <c r="C43">
        <v>13</v>
      </c>
      <c r="D43" t="s">
        <v>36</v>
      </c>
      <c r="E43" t="s">
        <v>33</v>
      </c>
      <c r="F43" t="s">
        <v>3</v>
      </c>
      <c r="G43">
        <v>-1.074219</v>
      </c>
      <c r="H43">
        <v>1.7376579999999999</v>
      </c>
      <c r="I43">
        <v>-0.91814399999999996</v>
      </c>
      <c r="J43">
        <v>4.9848530000000002</v>
      </c>
      <c r="K43">
        <v>342.34699999999998</v>
      </c>
      <c r="L43">
        <v>353.07380000000001</v>
      </c>
    </row>
    <row r="44" spans="1:12" x14ac:dyDescent="0.2">
      <c r="A44" s="1">
        <v>42970.491099537037</v>
      </c>
      <c r="B44">
        <v>770.22820000000002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1.7278560000000001</v>
      </c>
      <c r="I44">
        <v>2.7240000000000002</v>
      </c>
      <c r="J44">
        <v>6.4012599999999997</v>
      </c>
      <c r="K44">
        <v>339.62580000000003</v>
      </c>
      <c r="L44">
        <v>349.5453</v>
      </c>
    </row>
    <row r="45" spans="1:12" x14ac:dyDescent="0.2">
      <c r="A45" s="1">
        <v>42970.49113425926</v>
      </c>
      <c r="B45">
        <v>773.19079999999997</v>
      </c>
      <c r="C45">
        <v>14</v>
      </c>
      <c r="D45" t="s">
        <v>35</v>
      </c>
      <c r="E45" t="s">
        <v>5</v>
      </c>
      <c r="F45" t="s">
        <v>2</v>
      </c>
      <c r="G45">
        <v>3.3770840000000003E-2</v>
      </c>
      <c r="H45">
        <v>1.7256180000000001</v>
      </c>
      <c r="I45">
        <v>2.7387860000000002</v>
      </c>
      <c r="J45">
        <v>7.8552419999999996</v>
      </c>
      <c r="K45">
        <v>8.6391460000000003E-2</v>
      </c>
      <c r="L45">
        <v>351.85680000000002</v>
      </c>
    </row>
    <row r="46" spans="1:12" x14ac:dyDescent="0.2">
      <c r="A46" s="1">
        <v>42970.491319444445</v>
      </c>
      <c r="B46">
        <v>789.02340000000004</v>
      </c>
      <c r="C46">
        <v>14</v>
      </c>
      <c r="D46" t="s">
        <v>36</v>
      </c>
      <c r="E46" t="s">
        <v>5</v>
      </c>
      <c r="F46" t="s">
        <v>2</v>
      </c>
      <c r="G46">
        <v>-0.59548869999999998</v>
      </c>
      <c r="H46">
        <v>1.732181</v>
      </c>
      <c r="I46">
        <v>-0.24411559999999999</v>
      </c>
      <c r="J46">
        <v>7.6169099999999998</v>
      </c>
      <c r="K46">
        <v>265.88830000000002</v>
      </c>
      <c r="L46">
        <v>353.15710000000001</v>
      </c>
    </row>
    <row r="47" spans="1:12" x14ac:dyDescent="0.2">
      <c r="A47" s="1">
        <v>42970.491331018522</v>
      </c>
      <c r="B47">
        <v>790.24519999999995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1.7277659999999999</v>
      </c>
      <c r="I47">
        <v>0.09</v>
      </c>
      <c r="J47">
        <v>8.5466300000000004</v>
      </c>
      <c r="K47">
        <v>265.08890000000002</v>
      </c>
      <c r="L47">
        <v>350.63819999999998</v>
      </c>
    </row>
    <row r="48" spans="1:12" x14ac:dyDescent="0.2">
      <c r="A48" s="1">
        <v>42970.491377314815</v>
      </c>
      <c r="B48">
        <v>794.54660000000001</v>
      </c>
      <c r="C48">
        <v>15</v>
      </c>
      <c r="D48" t="s">
        <v>35</v>
      </c>
      <c r="E48" t="s">
        <v>6</v>
      </c>
      <c r="F48" t="s">
        <v>33</v>
      </c>
      <c r="G48">
        <v>-4.0437659999999997</v>
      </c>
      <c r="H48">
        <v>1.732464</v>
      </c>
      <c r="I48">
        <v>0.18335580000000001</v>
      </c>
      <c r="J48">
        <v>3.0353119999999998</v>
      </c>
      <c r="K48">
        <v>228.80369999999999</v>
      </c>
      <c r="L48">
        <v>350.67079999999999</v>
      </c>
    </row>
    <row r="49" spans="1:12" x14ac:dyDescent="0.2">
      <c r="A49" s="1">
        <v>42970.49145833333</v>
      </c>
      <c r="B49">
        <v>801.29179999999997</v>
      </c>
      <c r="C49">
        <v>15</v>
      </c>
      <c r="D49" t="s">
        <v>36</v>
      </c>
      <c r="E49" t="s">
        <v>6</v>
      </c>
      <c r="F49" t="s">
        <v>33</v>
      </c>
      <c r="G49">
        <v>-4.3262409999999996</v>
      </c>
      <c r="H49">
        <v>1.7343660000000001</v>
      </c>
      <c r="I49">
        <v>-1.6624159999999999</v>
      </c>
      <c r="J49">
        <v>5.1311730000000004</v>
      </c>
      <c r="K49">
        <v>307.8546</v>
      </c>
      <c r="L49">
        <v>353.93419999999998</v>
      </c>
    </row>
    <row r="50" spans="1:12" x14ac:dyDescent="0.2">
      <c r="A50" s="1">
        <v>42970.491493055553</v>
      </c>
      <c r="B50">
        <v>804.3211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1.7243280000000001</v>
      </c>
      <c r="I50">
        <v>-0.67300000000000004</v>
      </c>
      <c r="J50">
        <v>7.4568820000000002</v>
      </c>
      <c r="K50">
        <v>307.40300000000002</v>
      </c>
      <c r="L50">
        <v>350.17840000000001</v>
      </c>
    </row>
    <row r="51" spans="1:12" x14ac:dyDescent="0.2">
      <c r="A51" s="1">
        <v>42970.491620370369</v>
      </c>
      <c r="B51">
        <v>815.18259999999998</v>
      </c>
      <c r="C51">
        <v>16</v>
      </c>
      <c r="D51" t="s">
        <v>35</v>
      </c>
      <c r="E51" t="s">
        <v>4</v>
      </c>
      <c r="F51" t="s">
        <v>6</v>
      </c>
      <c r="G51">
        <v>3.872458</v>
      </c>
      <c r="H51">
        <v>1.6999740000000001</v>
      </c>
      <c r="I51">
        <v>-0.3885865</v>
      </c>
      <c r="J51">
        <v>18.01624</v>
      </c>
      <c r="K51">
        <v>25.338920000000002</v>
      </c>
      <c r="L51">
        <v>357.46510000000001</v>
      </c>
    </row>
    <row r="52" spans="1:12" x14ac:dyDescent="0.2">
      <c r="A52" s="1">
        <v>42970.491828703707</v>
      </c>
      <c r="B52">
        <v>832.99059999999997</v>
      </c>
      <c r="C52">
        <v>16</v>
      </c>
      <c r="D52" t="s">
        <v>36</v>
      </c>
      <c r="E52" t="s">
        <v>4</v>
      </c>
      <c r="F52" t="s">
        <v>6</v>
      </c>
      <c r="G52">
        <v>-1.254491</v>
      </c>
      <c r="H52">
        <v>1.733517</v>
      </c>
      <c r="I52">
        <v>-1.2710630000000001E-2</v>
      </c>
      <c r="J52">
        <v>4.8294119999999996</v>
      </c>
      <c r="K52">
        <v>219.19139999999999</v>
      </c>
      <c r="L52">
        <v>352.44209999999998</v>
      </c>
    </row>
    <row r="53" spans="1:12" x14ac:dyDescent="0.2">
      <c r="A53" s="1">
        <v>42970.491840277777</v>
      </c>
      <c r="B53">
        <v>834.01160000000004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1.7268589999999999</v>
      </c>
      <c r="I53">
        <v>1.8169999999999999</v>
      </c>
      <c r="J53">
        <v>6.4904349999999997</v>
      </c>
      <c r="K53">
        <v>215.68860000000001</v>
      </c>
      <c r="L53">
        <v>351.53969999999998</v>
      </c>
    </row>
    <row r="54" spans="1:12" x14ac:dyDescent="0.2">
      <c r="A54" s="1">
        <v>42970.491863425923</v>
      </c>
      <c r="B54">
        <v>836.82339999999999</v>
      </c>
      <c r="C54">
        <v>17</v>
      </c>
      <c r="D54" t="s">
        <v>35</v>
      </c>
      <c r="E54" t="s">
        <v>3</v>
      </c>
      <c r="F54" t="s">
        <v>4</v>
      </c>
      <c r="G54">
        <v>3.4666999999999999</v>
      </c>
      <c r="H54">
        <v>1.721689</v>
      </c>
      <c r="I54">
        <v>1.8228789999999999</v>
      </c>
      <c r="J54">
        <v>11.684839999999999</v>
      </c>
      <c r="K54">
        <v>301.20299999999997</v>
      </c>
      <c r="L54">
        <v>353.34809999999999</v>
      </c>
    </row>
    <row r="55" spans="1:12" x14ac:dyDescent="0.2">
      <c r="A55" s="1">
        <v>42970.491990740738</v>
      </c>
      <c r="B55">
        <v>847.58540000000005</v>
      </c>
      <c r="C55">
        <v>17</v>
      </c>
      <c r="D55" t="s">
        <v>36</v>
      </c>
      <c r="E55" t="s">
        <v>3</v>
      </c>
      <c r="F55" t="s">
        <v>4</v>
      </c>
      <c r="G55">
        <v>5.0931699999999998</v>
      </c>
      <c r="H55">
        <v>1.723009</v>
      </c>
      <c r="I55">
        <v>2.1228929999999999</v>
      </c>
      <c r="J55">
        <v>8.6632829999999998</v>
      </c>
      <c r="K55">
        <v>179.30510000000001</v>
      </c>
      <c r="L55">
        <v>356.89859999999999</v>
      </c>
    </row>
    <row r="56" spans="1:12" x14ac:dyDescent="0.2">
      <c r="A56" s="1">
        <v>42970.492037037038</v>
      </c>
      <c r="B56">
        <v>851.31790000000001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1.7269060000000001</v>
      </c>
      <c r="I56">
        <v>-4.3440000000000003</v>
      </c>
      <c r="J56">
        <v>8.3277459999999994</v>
      </c>
      <c r="K56">
        <v>174.8203</v>
      </c>
      <c r="L56">
        <v>353.87439999999998</v>
      </c>
    </row>
    <row r="57" spans="1:12" x14ac:dyDescent="0.2">
      <c r="A57" s="1">
        <v>42970.492060185185</v>
      </c>
      <c r="B57">
        <v>853.20920000000001</v>
      </c>
      <c r="C57">
        <v>18</v>
      </c>
      <c r="D57" t="s">
        <v>35</v>
      </c>
      <c r="E57" t="s">
        <v>2</v>
      </c>
      <c r="F57" t="s">
        <v>0</v>
      </c>
      <c r="G57">
        <v>3.6489150000000001</v>
      </c>
      <c r="H57">
        <v>1.686304</v>
      </c>
      <c r="I57">
        <v>-4.4561099999999998</v>
      </c>
      <c r="J57">
        <v>16.76989</v>
      </c>
      <c r="K57">
        <v>214.5284</v>
      </c>
      <c r="L57">
        <v>349.8252</v>
      </c>
    </row>
    <row r="58" spans="1:12" x14ac:dyDescent="0.2">
      <c r="A58" s="1">
        <v>42970.492175925923</v>
      </c>
      <c r="B58">
        <v>863.18449999999996</v>
      </c>
      <c r="C58">
        <v>18</v>
      </c>
      <c r="D58" t="s">
        <v>36</v>
      </c>
      <c r="E58" t="s">
        <v>2</v>
      </c>
      <c r="F58" t="s">
        <v>0</v>
      </c>
      <c r="G58">
        <v>5.3701239999999997</v>
      </c>
      <c r="H58">
        <v>1.7262850000000001</v>
      </c>
      <c r="I58">
        <v>-4.2247079999999997</v>
      </c>
      <c r="J58">
        <v>7.2134499999999999</v>
      </c>
      <c r="K58">
        <v>213.28200000000001</v>
      </c>
      <c r="L58">
        <v>352.19909999999999</v>
      </c>
    </row>
    <row r="59" spans="1:12" x14ac:dyDescent="0.2">
      <c r="A59" s="1">
        <v>42970.4921875</v>
      </c>
      <c r="B59">
        <v>864.423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1.7194940000000001</v>
      </c>
      <c r="I59">
        <v>-0.67300000000000004</v>
      </c>
      <c r="J59">
        <v>9.1736579999999996</v>
      </c>
      <c r="K59">
        <v>214.07640000000001</v>
      </c>
      <c r="L59">
        <v>349.06760000000003</v>
      </c>
    </row>
    <row r="60" spans="1:12" x14ac:dyDescent="0.2">
      <c r="A60" s="1">
        <v>42970.492222222223</v>
      </c>
      <c r="B60">
        <v>867.60299999999995</v>
      </c>
      <c r="C60">
        <v>19</v>
      </c>
      <c r="D60" t="s">
        <v>35</v>
      </c>
      <c r="E60" t="s">
        <v>4</v>
      </c>
      <c r="F60" t="s">
        <v>6</v>
      </c>
      <c r="G60">
        <v>3.6243050000000001</v>
      </c>
      <c r="H60">
        <v>1.669495</v>
      </c>
      <c r="I60">
        <v>-0.47746159999999999</v>
      </c>
      <c r="J60">
        <v>21.7471</v>
      </c>
      <c r="K60">
        <v>30.382809999999999</v>
      </c>
      <c r="L60">
        <v>356.74880000000002</v>
      </c>
    </row>
    <row r="61" spans="1:12" x14ac:dyDescent="0.2">
      <c r="A61" s="1">
        <v>42970.492395833331</v>
      </c>
      <c r="B61">
        <v>882.39829999999995</v>
      </c>
      <c r="C61">
        <v>19</v>
      </c>
      <c r="D61" t="s">
        <v>36</v>
      </c>
      <c r="E61" t="s">
        <v>4</v>
      </c>
      <c r="F61" t="s">
        <v>6</v>
      </c>
      <c r="G61">
        <v>0.85786819999999997</v>
      </c>
      <c r="H61">
        <v>1.7130320000000001</v>
      </c>
      <c r="I61">
        <v>3.255493</v>
      </c>
      <c r="J61">
        <v>10.849500000000001</v>
      </c>
      <c r="K61">
        <v>271.79719999999998</v>
      </c>
      <c r="L61">
        <v>354.17489999999998</v>
      </c>
    </row>
    <row r="62" spans="1:12" x14ac:dyDescent="0.2">
      <c r="A62" s="1">
        <v>42970.492465277777</v>
      </c>
      <c r="B62">
        <v>888.69119999999998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1.7069270000000001</v>
      </c>
      <c r="I62">
        <v>-1.4059999999999999</v>
      </c>
      <c r="J62">
        <v>8.5821249999999996</v>
      </c>
      <c r="K62">
        <v>56.300109999999997</v>
      </c>
      <c r="L62">
        <v>352.05259999999998</v>
      </c>
    </row>
    <row r="63" spans="1:12" x14ac:dyDescent="0.2">
      <c r="A63" s="1">
        <v>42970.492511574077</v>
      </c>
      <c r="B63">
        <v>892.08889999999997</v>
      </c>
      <c r="C63">
        <v>20</v>
      </c>
      <c r="D63" t="s">
        <v>35</v>
      </c>
      <c r="E63" t="s">
        <v>33</v>
      </c>
      <c r="F63" t="s">
        <v>3</v>
      </c>
      <c r="G63">
        <v>-3.9031189999999998</v>
      </c>
      <c r="H63">
        <v>1.6748259999999999</v>
      </c>
      <c r="I63">
        <v>-1.584463</v>
      </c>
      <c r="J63">
        <v>21.300799999999999</v>
      </c>
      <c r="K63">
        <v>194.35990000000001</v>
      </c>
      <c r="L63">
        <v>356.40019999999998</v>
      </c>
    </row>
    <row r="64" spans="1:12" x14ac:dyDescent="0.2">
      <c r="A64" s="1">
        <v>42970.492731481485</v>
      </c>
      <c r="B64">
        <v>911.55460000000005</v>
      </c>
      <c r="C64">
        <v>20</v>
      </c>
      <c r="D64" t="s">
        <v>36</v>
      </c>
      <c r="E64" t="s">
        <v>33</v>
      </c>
      <c r="F64" t="s">
        <v>3</v>
      </c>
      <c r="G64">
        <v>-0.50849960000000005</v>
      </c>
      <c r="H64">
        <v>1.710952</v>
      </c>
      <c r="I64">
        <v>-2.2367590000000002</v>
      </c>
      <c r="J64">
        <v>7.9469849999999997</v>
      </c>
      <c r="K64">
        <v>53.391109999999998</v>
      </c>
      <c r="L64">
        <v>353.03949999999998</v>
      </c>
    </row>
    <row r="65" spans="1:12" x14ac:dyDescent="0.2">
      <c r="A65" s="1">
        <v>42970.492754629631</v>
      </c>
      <c r="B65">
        <v>913.178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1.6883049999999999</v>
      </c>
      <c r="I65">
        <v>-4.117</v>
      </c>
      <c r="J65">
        <v>13.547140000000001</v>
      </c>
      <c r="K65">
        <v>56.365819999999999</v>
      </c>
      <c r="L65">
        <v>350.65530000000001</v>
      </c>
    </row>
    <row r="66" spans="1:12" x14ac:dyDescent="0.2">
      <c r="A66" s="1">
        <v>42970.492766203701</v>
      </c>
      <c r="B66">
        <v>914.58389999999997</v>
      </c>
      <c r="C66">
        <v>21</v>
      </c>
      <c r="D66" t="s">
        <v>35</v>
      </c>
      <c r="E66" t="s">
        <v>0</v>
      </c>
      <c r="F66" t="s">
        <v>1</v>
      </c>
      <c r="G66">
        <v>-0.85919889999999999</v>
      </c>
      <c r="H66">
        <v>1.685497</v>
      </c>
      <c r="I66">
        <v>-4.1296359999999996</v>
      </c>
      <c r="J66">
        <v>13.203290000000001</v>
      </c>
      <c r="K66">
        <v>57.674979999999998</v>
      </c>
      <c r="L66">
        <v>351.90350000000001</v>
      </c>
    </row>
    <row r="67" spans="1:12" x14ac:dyDescent="0.2">
      <c r="A67" s="1">
        <v>42970.49291666667</v>
      </c>
      <c r="B67">
        <v>927.05280000000005</v>
      </c>
      <c r="C67">
        <v>21</v>
      </c>
      <c r="D67" t="s">
        <v>36</v>
      </c>
      <c r="E67" t="s">
        <v>0</v>
      </c>
      <c r="F67" t="s">
        <v>1</v>
      </c>
      <c r="G67">
        <v>-2.4214570000000002</v>
      </c>
      <c r="H67">
        <v>1.7186490000000001</v>
      </c>
      <c r="I67">
        <v>-4.5394899999999999E-4</v>
      </c>
      <c r="J67">
        <v>1.710161</v>
      </c>
      <c r="K67">
        <v>161.64099999999999</v>
      </c>
      <c r="L67">
        <v>353.37880000000001</v>
      </c>
    </row>
    <row r="68" spans="1:12" x14ac:dyDescent="0.2">
      <c r="A68" s="1">
        <v>42970.492928240739</v>
      </c>
      <c r="B68">
        <v>928.30799999999999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1.6966730000000001</v>
      </c>
      <c r="I68">
        <v>4.1399999999999997</v>
      </c>
      <c r="J68">
        <v>7.0396000000000001</v>
      </c>
      <c r="K68">
        <v>163.90979999999999</v>
      </c>
      <c r="L68">
        <v>352.22739999999999</v>
      </c>
    </row>
    <row r="69" spans="1:12" x14ac:dyDescent="0.2">
      <c r="A69" s="1">
        <v>42970.492986111109</v>
      </c>
      <c r="B69">
        <v>933.41309999999999</v>
      </c>
      <c r="C69">
        <v>22</v>
      </c>
      <c r="D69" t="s">
        <v>35</v>
      </c>
      <c r="E69" t="s">
        <v>1</v>
      </c>
      <c r="F69" t="s">
        <v>5</v>
      </c>
      <c r="G69">
        <v>-3.9529800000000002</v>
      </c>
      <c r="H69">
        <v>1.7147920000000001</v>
      </c>
      <c r="I69">
        <v>3.9485100000000002</v>
      </c>
      <c r="J69">
        <v>356.86529999999999</v>
      </c>
      <c r="K69">
        <v>282.6302</v>
      </c>
      <c r="L69">
        <v>357.9486</v>
      </c>
    </row>
    <row r="70" spans="1:12" x14ac:dyDescent="0.2">
      <c r="A70" s="1">
        <v>42970.493148148147</v>
      </c>
      <c r="B70">
        <v>947.33910000000003</v>
      </c>
      <c r="C70">
        <v>22</v>
      </c>
      <c r="D70" t="s">
        <v>36</v>
      </c>
      <c r="E70" t="s">
        <v>1</v>
      </c>
      <c r="F70" t="s">
        <v>5</v>
      </c>
      <c r="G70">
        <v>-5.6339139999999999</v>
      </c>
      <c r="H70">
        <v>1.7264299999999999</v>
      </c>
      <c r="I70">
        <v>-0.62799070000000001</v>
      </c>
      <c r="J70">
        <v>6.5036440000000004</v>
      </c>
      <c r="K70">
        <v>211.10499999999999</v>
      </c>
      <c r="L70">
        <v>354.07830000000001</v>
      </c>
    </row>
    <row r="71" spans="1:12" x14ac:dyDescent="0.2">
      <c r="A71" s="1">
        <v>42970.493159722224</v>
      </c>
      <c r="B71">
        <v>948.34339999999997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1.6906639999999999</v>
      </c>
      <c r="I71">
        <v>0.09</v>
      </c>
      <c r="J71">
        <v>9.6872969999999992</v>
      </c>
      <c r="K71">
        <v>211.58799999999999</v>
      </c>
      <c r="L71">
        <v>350.39870000000002</v>
      </c>
    </row>
    <row r="72" spans="1:12" x14ac:dyDescent="0.2">
      <c r="A72" s="1">
        <v>42970.493194444447</v>
      </c>
      <c r="B72">
        <v>951.47339999999997</v>
      </c>
      <c r="C72">
        <v>23</v>
      </c>
      <c r="D72" t="s">
        <v>35</v>
      </c>
      <c r="E72" t="s">
        <v>6</v>
      </c>
      <c r="F72" t="s">
        <v>33</v>
      </c>
      <c r="G72">
        <v>-3.8040600000000002</v>
      </c>
      <c r="H72">
        <v>1.7059169999999999</v>
      </c>
      <c r="I72">
        <v>6.5938460000000004E-2</v>
      </c>
      <c r="J72">
        <v>10.150499999999999</v>
      </c>
      <c r="K72">
        <v>103.39579999999999</v>
      </c>
      <c r="L72">
        <v>356.4135</v>
      </c>
    </row>
    <row r="73" spans="1:12" x14ac:dyDescent="0.2">
      <c r="A73" s="1">
        <v>42970.493287037039</v>
      </c>
      <c r="B73">
        <v>959.37360000000001</v>
      </c>
      <c r="C73">
        <v>23</v>
      </c>
      <c r="D73" t="s">
        <v>36</v>
      </c>
      <c r="E73" t="s">
        <v>6</v>
      </c>
      <c r="F73" t="s">
        <v>33</v>
      </c>
      <c r="G73">
        <v>-2.9431229999999999</v>
      </c>
      <c r="H73">
        <v>1.713632</v>
      </c>
      <c r="I73">
        <v>0.89209950000000005</v>
      </c>
      <c r="J73">
        <v>7.6117629999999998</v>
      </c>
      <c r="K73">
        <v>50.880670000000002</v>
      </c>
      <c r="L73">
        <v>354.4314</v>
      </c>
    </row>
    <row r="74" spans="1:12" x14ac:dyDescent="0.2">
      <c r="A74" s="1">
        <v>42970.493356481478</v>
      </c>
      <c r="B74">
        <v>965.28219999999999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1.7258819999999999</v>
      </c>
      <c r="I74">
        <v>2.7240000000000002</v>
      </c>
      <c r="J74">
        <v>6.344913</v>
      </c>
      <c r="K74">
        <v>197.0607</v>
      </c>
      <c r="L74">
        <v>355.16039999999998</v>
      </c>
    </row>
    <row r="75" spans="1:12" x14ac:dyDescent="0.2">
      <c r="A75" s="1">
        <v>42970.493414351855</v>
      </c>
      <c r="B75">
        <v>970.21950000000004</v>
      </c>
      <c r="C75">
        <v>24</v>
      </c>
      <c r="D75" t="s">
        <v>35</v>
      </c>
      <c r="E75" t="s">
        <v>5</v>
      </c>
      <c r="F75" t="s">
        <v>2</v>
      </c>
      <c r="G75">
        <v>9.8184450000000006E-2</v>
      </c>
      <c r="H75">
        <v>1.705559</v>
      </c>
      <c r="I75">
        <v>2.4317160000000002</v>
      </c>
      <c r="J75">
        <v>6.9108289999999997</v>
      </c>
      <c r="K75">
        <v>287.59050000000002</v>
      </c>
      <c r="L75">
        <v>354.37979999999999</v>
      </c>
    </row>
    <row r="76" spans="1:12" x14ac:dyDescent="0.2">
      <c r="A76" s="1">
        <v>42970.493587962963</v>
      </c>
      <c r="B76">
        <v>985.23230000000001</v>
      </c>
      <c r="C76">
        <v>24</v>
      </c>
      <c r="D76" t="s">
        <v>36</v>
      </c>
      <c r="E76" t="s">
        <v>5</v>
      </c>
      <c r="F76" t="s">
        <v>2</v>
      </c>
      <c r="G76">
        <v>-2.2432720000000002</v>
      </c>
      <c r="H76">
        <v>1.7263139999999999</v>
      </c>
      <c r="I76">
        <v>4.3236460000000001</v>
      </c>
      <c r="J76">
        <v>6.4174220000000002</v>
      </c>
      <c r="K76">
        <v>270.28190000000001</v>
      </c>
      <c r="L76">
        <v>353.32409999999999</v>
      </c>
    </row>
    <row r="77" spans="1:12" x14ac:dyDescent="0.2">
      <c r="A77" s="1">
        <v>42970.49359953704</v>
      </c>
      <c r="B77">
        <v>986.60469999999998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1.723047</v>
      </c>
      <c r="I77">
        <v>4.1399999999999997</v>
      </c>
      <c r="J77">
        <v>9.8374769999999998</v>
      </c>
      <c r="K77">
        <v>260.66739999999999</v>
      </c>
      <c r="L77">
        <v>348.53390000000002</v>
      </c>
    </row>
    <row r="78" spans="1:12" x14ac:dyDescent="0.2">
      <c r="A78" s="1">
        <v>42970.493645833332</v>
      </c>
      <c r="B78">
        <v>989.93539999999996</v>
      </c>
      <c r="C78">
        <v>25</v>
      </c>
      <c r="D78" t="s">
        <v>35</v>
      </c>
      <c r="E78" t="s">
        <v>1</v>
      </c>
      <c r="F78" t="s">
        <v>5</v>
      </c>
      <c r="G78">
        <v>-3.8444060000000002</v>
      </c>
      <c r="H78">
        <v>1.718218</v>
      </c>
      <c r="I78">
        <v>3.9327909999999999</v>
      </c>
      <c r="J78">
        <v>5.8050540000000002</v>
      </c>
      <c r="K78">
        <v>87.595129999999997</v>
      </c>
      <c r="L78">
        <v>358.25540000000001</v>
      </c>
    </row>
    <row r="79" spans="1:12" x14ac:dyDescent="0.2">
      <c r="A79" s="1">
        <v>42970.493796296294</v>
      </c>
      <c r="B79">
        <v>1003.726</v>
      </c>
      <c r="C79">
        <v>25</v>
      </c>
      <c r="D79" t="s">
        <v>36</v>
      </c>
      <c r="E79" t="s">
        <v>1</v>
      </c>
      <c r="F79" t="s">
        <v>5</v>
      </c>
      <c r="G79">
        <v>-3.6335829999999998</v>
      </c>
      <c r="H79">
        <v>1.732521</v>
      </c>
      <c r="I79">
        <v>0.256635</v>
      </c>
      <c r="J79">
        <v>6.32545</v>
      </c>
      <c r="K79">
        <v>327.69749999999999</v>
      </c>
      <c r="L79">
        <v>353.69369999999998</v>
      </c>
    </row>
    <row r="80" spans="1:12" x14ac:dyDescent="0.2">
      <c r="A80" s="1">
        <v>42970.493831018517</v>
      </c>
      <c r="B80">
        <v>1006.086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1.7313289999999999</v>
      </c>
      <c r="I80">
        <v>-0.67300000000000004</v>
      </c>
      <c r="J80">
        <v>8.9908230000000007</v>
      </c>
      <c r="K80">
        <v>325.27499999999998</v>
      </c>
      <c r="L80">
        <v>350.90589999999997</v>
      </c>
    </row>
    <row r="81" spans="1:12" x14ac:dyDescent="0.2">
      <c r="A81" s="1">
        <v>42970.493877314817</v>
      </c>
      <c r="B81">
        <v>1010.688</v>
      </c>
      <c r="C81">
        <v>26</v>
      </c>
      <c r="D81" t="s">
        <v>35</v>
      </c>
      <c r="E81" t="s">
        <v>4</v>
      </c>
      <c r="F81" t="s">
        <v>6</v>
      </c>
      <c r="G81">
        <v>3.7363740000000001</v>
      </c>
      <c r="H81">
        <v>1.695641</v>
      </c>
      <c r="I81">
        <v>-0.57383360000000005</v>
      </c>
      <c r="J81">
        <v>19.154890000000002</v>
      </c>
      <c r="K81">
        <v>83.358949999999993</v>
      </c>
      <c r="L81">
        <v>356.2278</v>
      </c>
    </row>
    <row r="82" spans="1:12" x14ac:dyDescent="0.2">
      <c r="A82" s="1">
        <v>42970.494074074071</v>
      </c>
      <c r="B82">
        <v>1027.3579999999999</v>
      </c>
      <c r="C82">
        <v>26</v>
      </c>
      <c r="D82" t="s">
        <v>36</v>
      </c>
      <c r="E82" t="s">
        <v>4</v>
      </c>
      <c r="F82" t="s">
        <v>6</v>
      </c>
      <c r="G82">
        <v>1.12677</v>
      </c>
      <c r="H82">
        <v>1.7169479999999999</v>
      </c>
      <c r="I82">
        <v>-4.3669089999999997</v>
      </c>
      <c r="J82">
        <v>7.3117590000000003</v>
      </c>
      <c r="K82">
        <v>161.15450000000001</v>
      </c>
      <c r="L82">
        <v>351.91019999999997</v>
      </c>
    </row>
    <row r="83" spans="1:12" x14ac:dyDescent="0.2">
      <c r="A83" s="1">
        <v>42970.494131944448</v>
      </c>
      <c r="B83">
        <v>1033.1990000000001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1.7292069999999999</v>
      </c>
      <c r="I83">
        <v>2.7240000000000002</v>
      </c>
      <c r="J83">
        <v>4.4504190000000001</v>
      </c>
      <c r="K83">
        <v>322.5847</v>
      </c>
      <c r="L83">
        <v>355.38549999999998</v>
      </c>
    </row>
    <row r="84" spans="1:12" x14ac:dyDescent="0.2">
      <c r="A84" s="1">
        <v>42970.49417824074</v>
      </c>
      <c r="B84">
        <v>1036.53</v>
      </c>
      <c r="C84">
        <v>27</v>
      </c>
      <c r="D84" t="s">
        <v>35</v>
      </c>
      <c r="E84" t="s">
        <v>5</v>
      </c>
      <c r="F84" t="s">
        <v>2</v>
      </c>
      <c r="G84">
        <v>0.25005709999999998</v>
      </c>
      <c r="H84">
        <v>1.7188239999999999</v>
      </c>
      <c r="I84">
        <v>2.6691060000000002</v>
      </c>
      <c r="J84">
        <v>5.7908710000000001</v>
      </c>
      <c r="K84">
        <v>223.18530000000001</v>
      </c>
      <c r="L84">
        <v>355.35849999999999</v>
      </c>
    </row>
    <row r="85" spans="1:12" x14ac:dyDescent="0.2">
      <c r="A85" s="1">
        <v>42970.494398148148</v>
      </c>
      <c r="B85">
        <v>1055.7619999999999</v>
      </c>
      <c r="C85">
        <v>27</v>
      </c>
      <c r="D85" t="s">
        <v>36</v>
      </c>
      <c r="E85" t="s">
        <v>5</v>
      </c>
      <c r="F85" t="s">
        <v>2</v>
      </c>
      <c r="G85">
        <v>-2.6681349999999999</v>
      </c>
      <c r="H85">
        <v>1.717346</v>
      </c>
      <c r="I85">
        <v>6.3342869999999998</v>
      </c>
      <c r="J85">
        <v>5.8541869999999996</v>
      </c>
      <c r="K85">
        <v>289.62950000000001</v>
      </c>
      <c r="L85">
        <v>352.71980000000002</v>
      </c>
    </row>
    <row r="86" spans="1:12" x14ac:dyDescent="0.2">
      <c r="A86" s="1">
        <v>42970.494421296295</v>
      </c>
      <c r="B86">
        <v>1057.7529999999999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1.695843</v>
      </c>
      <c r="I86">
        <v>-4.117</v>
      </c>
      <c r="J86">
        <v>8.4884140000000006</v>
      </c>
      <c r="K86">
        <v>291.75360000000001</v>
      </c>
      <c r="L86">
        <v>349.27289999999999</v>
      </c>
    </row>
    <row r="87" spans="1:12" x14ac:dyDescent="0.2">
      <c r="A87" s="1">
        <v>42970.494513888887</v>
      </c>
      <c r="B87">
        <v>1065.838</v>
      </c>
      <c r="C87">
        <v>28</v>
      </c>
      <c r="D87" t="s">
        <v>35</v>
      </c>
      <c r="E87" t="s">
        <v>0</v>
      </c>
      <c r="F87" t="s">
        <v>1</v>
      </c>
      <c r="G87">
        <v>-0.68566340000000003</v>
      </c>
      <c r="H87">
        <v>1.7154100000000001</v>
      </c>
      <c r="I87">
        <v>-4.470707</v>
      </c>
      <c r="J87">
        <v>10.0624</v>
      </c>
      <c r="K87">
        <v>90.687169999999995</v>
      </c>
      <c r="L87">
        <v>352.94470000000001</v>
      </c>
    </row>
    <row r="88" spans="1:12" x14ac:dyDescent="0.2">
      <c r="A88" s="1">
        <v>42970.494699074072</v>
      </c>
      <c r="B88">
        <v>1081.403</v>
      </c>
      <c r="C88">
        <v>28</v>
      </c>
      <c r="D88" t="s">
        <v>36</v>
      </c>
      <c r="E88" t="s">
        <v>0</v>
      </c>
      <c r="F88" t="s">
        <v>1</v>
      </c>
      <c r="G88">
        <v>-2.5645180000000001</v>
      </c>
      <c r="H88">
        <v>1.7194100000000001</v>
      </c>
      <c r="I88">
        <v>0.15561059999999999</v>
      </c>
      <c r="J88">
        <v>6.0103070000000001</v>
      </c>
      <c r="K88">
        <v>104.4526</v>
      </c>
      <c r="L88">
        <v>352.76400000000001</v>
      </c>
    </row>
    <row r="89" spans="1:12" x14ac:dyDescent="0.2">
      <c r="A89" s="1">
        <v>42970.494710648149</v>
      </c>
      <c r="B89">
        <v>1082.9259999999999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1.6905030000000001</v>
      </c>
      <c r="I89">
        <v>-1.4059999999999999</v>
      </c>
      <c r="J89">
        <v>8.910012</v>
      </c>
      <c r="K89">
        <v>100.1223</v>
      </c>
      <c r="L89">
        <v>351.58069999999998</v>
      </c>
    </row>
    <row r="90" spans="1:12" x14ac:dyDescent="0.2">
      <c r="A90" s="1">
        <v>42970.494756944441</v>
      </c>
      <c r="B90">
        <v>1086.9100000000001</v>
      </c>
      <c r="C90">
        <v>29</v>
      </c>
      <c r="D90" t="s">
        <v>35</v>
      </c>
      <c r="E90" t="s">
        <v>33</v>
      </c>
      <c r="F90" t="s">
        <v>3</v>
      </c>
      <c r="G90">
        <v>-3.8216739999999998</v>
      </c>
      <c r="H90">
        <v>1.688242</v>
      </c>
      <c r="I90">
        <v>-1.635332</v>
      </c>
      <c r="J90">
        <v>18.898330000000001</v>
      </c>
      <c r="K90">
        <v>255.0479</v>
      </c>
      <c r="L90">
        <v>357.67579999999998</v>
      </c>
    </row>
    <row r="91" spans="1:12" x14ac:dyDescent="0.2">
      <c r="A91" s="1">
        <v>42970.494837962964</v>
      </c>
      <c r="B91">
        <v>1094.1569999999999</v>
      </c>
      <c r="C91">
        <v>29</v>
      </c>
      <c r="D91" t="s">
        <v>36</v>
      </c>
      <c r="E91" t="s">
        <v>33</v>
      </c>
      <c r="F91" t="s">
        <v>3</v>
      </c>
      <c r="G91">
        <v>-1.256515</v>
      </c>
      <c r="H91">
        <v>1.714553</v>
      </c>
      <c r="I91">
        <v>-2.1648040000000002</v>
      </c>
      <c r="J91">
        <v>7.5943399999999999</v>
      </c>
      <c r="K91">
        <v>235.59989999999999</v>
      </c>
      <c r="L91">
        <v>354.38159999999999</v>
      </c>
    </row>
    <row r="92" spans="1:12" x14ac:dyDescent="0.2">
      <c r="A92" s="1">
        <v>42970.49490740741</v>
      </c>
      <c r="B92">
        <v>1099.5630000000001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1.720361</v>
      </c>
      <c r="I92">
        <v>0.09</v>
      </c>
      <c r="J92">
        <v>4.2288069999999998</v>
      </c>
      <c r="K92">
        <v>50.453569999999999</v>
      </c>
      <c r="L92">
        <v>353.56700000000001</v>
      </c>
    </row>
    <row r="93" spans="1:12" x14ac:dyDescent="0.2">
      <c r="A93" s="1">
        <v>42970.49491898148</v>
      </c>
      <c r="B93">
        <v>1101.086</v>
      </c>
      <c r="C93">
        <v>30</v>
      </c>
      <c r="D93" t="s">
        <v>35</v>
      </c>
      <c r="E93" t="s">
        <v>6</v>
      </c>
      <c r="F93" t="s">
        <v>33</v>
      </c>
      <c r="G93">
        <v>-4.0243890000000002</v>
      </c>
      <c r="H93">
        <v>1.7127429999999999</v>
      </c>
      <c r="I93">
        <v>5.488825E-2</v>
      </c>
      <c r="J93">
        <v>10.943149999999999</v>
      </c>
      <c r="K93">
        <v>74.625370000000004</v>
      </c>
      <c r="L93">
        <v>352.24689999999998</v>
      </c>
    </row>
    <row r="94" spans="1:12" x14ac:dyDescent="0.2">
      <c r="A94" s="1">
        <v>42970.495000000003</v>
      </c>
      <c r="B94">
        <v>1108.116</v>
      </c>
      <c r="C94">
        <v>30</v>
      </c>
      <c r="D94" t="s">
        <v>36</v>
      </c>
      <c r="E94" t="s">
        <v>6</v>
      </c>
      <c r="F94" t="s">
        <v>33</v>
      </c>
      <c r="G94">
        <v>-4.2996359999999996</v>
      </c>
      <c r="H94">
        <v>1.724062</v>
      </c>
      <c r="I94">
        <v>-1.4039269999999999</v>
      </c>
      <c r="J94">
        <v>6.3000660000000002</v>
      </c>
      <c r="K94">
        <v>155.87569999999999</v>
      </c>
      <c r="L94">
        <v>349.76960000000003</v>
      </c>
    </row>
    <row r="95" spans="1:12" x14ac:dyDescent="0.2">
      <c r="A95" s="1">
        <v>42970.495046296295</v>
      </c>
      <c r="B95">
        <v>1111.413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1.7082900000000001</v>
      </c>
      <c r="I95">
        <v>-4.3440000000000003</v>
      </c>
      <c r="J95">
        <v>10.021179999999999</v>
      </c>
      <c r="K95">
        <v>153.54329999999999</v>
      </c>
      <c r="L95">
        <v>350.22620000000001</v>
      </c>
    </row>
    <row r="96" spans="1:12" x14ac:dyDescent="0.2">
      <c r="A96" s="1">
        <v>42970.495092592595</v>
      </c>
      <c r="B96">
        <v>1115.248</v>
      </c>
      <c r="C96">
        <v>31</v>
      </c>
      <c r="D96" t="s">
        <v>35</v>
      </c>
      <c r="E96" t="s">
        <v>2</v>
      </c>
      <c r="F96" t="s">
        <v>0</v>
      </c>
      <c r="G96">
        <v>3.5999029999999999</v>
      </c>
      <c r="H96">
        <v>1.6832020000000001</v>
      </c>
      <c r="I96">
        <v>-4.3643169999999998</v>
      </c>
      <c r="J96">
        <v>7.4980840000000004</v>
      </c>
      <c r="K96">
        <v>86.186089999999993</v>
      </c>
      <c r="L96">
        <v>348.43549999999999</v>
      </c>
    </row>
    <row r="97" spans="1:12" x14ac:dyDescent="0.2">
      <c r="A97" s="1">
        <v>42970.495138888888</v>
      </c>
      <c r="B97">
        <v>1120.1500000000001</v>
      </c>
      <c r="C97">
        <v>31</v>
      </c>
      <c r="D97" t="s">
        <v>36</v>
      </c>
      <c r="E97" t="s">
        <v>2</v>
      </c>
      <c r="F97" t="s">
        <v>0</v>
      </c>
      <c r="G97">
        <v>5.3127149999999999</v>
      </c>
      <c r="H97">
        <v>1.72637</v>
      </c>
      <c r="I97">
        <v>-4.178083</v>
      </c>
      <c r="J97">
        <v>4.3871320000000003</v>
      </c>
      <c r="K97">
        <v>69.660240000000002</v>
      </c>
      <c r="L97">
        <v>353.05840000000001</v>
      </c>
    </row>
    <row r="98" spans="1:12" x14ac:dyDescent="0.2">
      <c r="A98" s="1">
        <v>42970.495162037034</v>
      </c>
      <c r="B98">
        <v>1121.271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1.718766</v>
      </c>
      <c r="I98">
        <v>1.8169999999999999</v>
      </c>
      <c r="J98">
        <v>6.8393110000000004</v>
      </c>
      <c r="K98">
        <v>68.311940000000007</v>
      </c>
      <c r="L98">
        <v>350.71300000000002</v>
      </c>
    </row>
    <row r="99" spans="1:12" x14ac:dyDescent="0.2">
      <c r="A99" s="1">
        <v>42970.495185185187</v>
      </c>
      <c r="B99">
        <v>1124.0160000000001</v>
      </c>
      <c r="C99">
        <v>32</v>
      </c>
      <c r="D99" t="s">
        <v>35</v>
      </c>
      <c r="E99" t="s">
        <v>3</v>
      </c>
      <c r="F99" t="s">
        <v>4</v>
      </c>
      <c r="G99">
        <v>3.317615</v>
      </c>
      <c r="H99">
        <v>1.717012</v>
      </c>
      <c r="I99">
        <v>2.0336020000000001</v>
      </c>
      <c r="J99">
        <v>8.8593700000000002</v>
      </c>
      <c r="K99">
        <v>356.56880000000001</v>
      </c>
      <c r="L99">
        <v>354.73480000000001</v>
      </c>
    </row>
    <row r="100" spans="1:12" x14ac:dyDescent="0.2">
      <c r="A100" s="1">
        <v>42970.495289351849</v>
      </c>
      <c r="B100">
        <v>1132.636</v>
      </c>
      <c r="C100">
        <v>32</v>
      </c>
      <c r="D100" t="s">
        <v>36</v>
      </c>
      <c r="E100" t="s">
        <v>3</v>
      </c>
      <c r="F100" t="s">
        <v>4</v>
      </c>
      <c r="G100">
        <v>3.8645420000000001</v>
      </c>
      <c r="H100">
        <v>1.7242930000000001</v>
      </c>
      <c r="I100">
        <v>0.29910330000000002</v>
      </c>
      <c r="J100">
        <v>3.7816809999999998</v>
      </c>
      <c r="K100">
        <v>307.57119999999998</v>
      </c>
      <c r="L100">
        <v>355.19880000000001</v>
      </c>
    </row>
    <row r="101" spans="1:12" x14ac:dyDescent="0.2">
      <c r="A101" s="1">
        <v>42970.495335648149</v>
      </c>
      <c r="B101">
        <v>1136.4359999999999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1.72211</v>
      </c>
      <c r="I101">
        <v>0.09</v>
      </c>
      <c r="J101">
        <v>6.8852099999999998</v>
      </c>
      <c r="K101">
        <v>303.21969999999999</v>
      </c>
      <c r="L101">
        <v>352.10829999999999</v>
      </c>
    </row>
    <row r="102" spans="1:12" x14ac:dyDescent="0.2">
      <c r="A102" s="1">
        <v>42970.495347222219</v>
      </c>
      <c r="B102">
        <v>1137.8920000000001</v>
      </c>
      <c r="C102">
        <v>33</v>
      </c>
      <c r="D102" t="s">
        <v>35</v>
      </c>
      <c r="E102" t="s">
        <v>6</v>
      </c>
      <c r="F102" t="s">
        <v>33</v>
      </c>
      <c r="G102">
        <v>-4.066452</v>
      </c>
      <c r="H102">
        <v>1.7141029999999999</v>
      </c>
      <c r="I102">
        <v>0.1164683</v>
      </c>
      <c r="J102">
        <v>8.724907</v>
      </c>
      <c r="K102">
        <v>260.07639999999998</v>
      </c>
      <c r="L102">
        <v>352.87090000000001</v>
      </c>
    </row>
    <row r="103" spans="1:12" x14ac:dyDescent="0.2">
      <c r="A103" s="1">
        <v>42970.495462962965</v>
      </c>
      <c r="B103">
        <v>1148.1189999999999</v>
      </c>
      <c r="C103">
        <v>33</v>
      </c>
      <c r="D103" t="s">
        <v>36</v>
      </c>
      <c r="E103" t="s">
        <v>6</v>
      </c>
      <c r="F103" t="s">
        <v>33</v>
      </c>
      <c r="G103">
        <v>-5.4288179999999997</v>
      </c>
      <c r="H103">
        <v>1.7230890000000001</v>
      </c>
      <c r="I103">
        <v>-1.1833419999999999</v>
      </c>
      <c r="J103">
        <v>5.6756460000000004</v>
      </c>
      <c r="K103">
        <v>256.93430000000001</v>
      </c>
      <c r="L103">
        <v>353.93770000000001</v>
      </c>
    </row>
    <row r="104" spans="1:12" x14ac:dyDescent="0.2">
      <c r="A104" s="1">
        <v>42970.495486111111</v>
      </c>
      <c r="B104">
        <v>1149.4570000000001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1.7197960000000001</v>
      </c>
      <c r="I104">
        <v>-0.67300000000000004</v>
      </c>
      <c r="J104">
        <v>7.3309129999999998</v>
      </c>
      <c r="K104">
        <v>256.1302</v>
      </c>
      <c r="L104">
        <v>352.70370000000003</v>
      </c>
    </row>
    <row r="105" spans="1:12" x14ac:dyDescent="0.2">
      <c r="A105" s="1">
        <v>42970.49554398148</v>
      </c>
      <c r="B105">
        <v>1154.646</v>
      </c>
      <c r="C105">
        <v>34</v>
      </c>
      <c r="D105" t="s">
        <v>35</v>
      </c>
      <c r="E105" t="s">
        <v>4</v>
      </c>
      <c r="F105" t="s">
        <v>6</v>
      </c>
      <c r="G105">
        <v>3.8896030000000001</v>
      </c>
      <c r="H105">
        <v>1.6947030000000001</v>
      </c>
      <c r="I105">
        <v>-0.57161340000000005</v>
      </c>
      <c r="J105">
        <v>18.31767</v>
      </c>
      <c r="K105">
        <v>316.80410000000001</v>
      </c>
      <c r="L105">
        <v>0.28415180000000001</v>
      </c>
    </row>
    <row r="106" spans="1:12" x14ac:dyDescent="0.2">
      <c r="A106" s="1">
        <v>42970.495740740742</v>
      </c>
      <c r="B106">
        <v>1172.1030000000001</v>
      </c>
      <c r="C106">
        <v>34</v>
      </c>
      <c r="D106" t="s">
        <v>36</v>
      </c>
      <c r="E106" t="s">
        <v>4</v>
      </c>
      <c r="F106" t="s">
        <v>6</v>
      </c>
      <c r="G106">
        <v>-1.143114</v>
      </c>
      <c r="H106">
        <v>1.7278720000000001</v>
      </c>
      <c r="I106">
        <v>2.089585</v>
      </c>
      <c r="J106">
        <v>4.4705729999999999</v>
      </c>
      <c r="K106">
        <v>178.60990000000001</v>
      </c>
      <c r="L106">
        <v>351.83420000000001</v>
      </c>
    </row>
    <row r="107" spans="1:12" x14ac:dyDescent="0.2">
      <c r="A107" s="1">
        <v>42970.495821759258</v>
      </c>
      <c r="B107">
        <v>1179.2329999999999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1.7296450000000001</v>
      </c>
      <c r="I107">
        <v>2.7240000000000002</v>
      </c>
      <c r="J107">
        <v>5.3370280000000001</v>
      </c>
      <c r="K107">
        <v>310.84269999999998</v>
      </c>
      <c r="L107">
        <v>355.34960000000001</v>
      </c>
    </row>
    <row r="108" spans="1:12" x14ac:dyDescent="0.2">
      <c r="A108" s="1">
        <v>42970.49591435185</v>
      </c>
      <c r="B108">
        <v>1186.8150000000001</v>
      </c>
      <c r="C108">
        <v>35</v>
      </c>
      <c r="D108" t="s">
        <v>35</v>
      </c>
      <c r="E108" t="s">
        <v>5</v>
      </c>
      <c r="F108" t="s">
        <v>2</v>
      </c>
      <c r="G108">
        <v>0.1766597</v>
      </c>
      <c r="H108">
        <v>1.7192350000000001</v>
      </c>
      <c r="I108">
        <v>2.5063529999999998</v>
      </c>
      <c r="J108">
        <v>10.38068</v>
      </c>
      <c r="K108">
        <v>335.34570000000002</v>
      </c>
      <c r="L108">
        <v>353.4588</v>
      </c>
    </row>
    <row r="109" spans="1:12" x14ac:dyDescent="0.2">
      <c r="A109" s="1">
        <v>42970.496064814812</v>
      </c>
      <c r="B109">
        <v>1199.9359999999999</v>
      </c>
      <c r="C109">
        <v>35</v>
      </c>
      <c r="D109" t="s">
        <v>36</v>
      </c>
      <c r="E109" t="s">
        <v>5</v>
      </c>
      <c r="F109" t="s">
        <v>2</v>
      </c>
      <c r="G109">
        <v>-0.66926660000000004</v>
      </c>
      <c r="H109">
        <v>1.726623</v>
      </c>
      <c r="I109">
        <v>3.195935</v>
      </c>
      <c r="J109">
        <v>7.3488569999999998</v>
      </c>
      <c r="K109">
        <v>97.865549999999999</v>
      </c>
      <c r="L109">
        <v>353.0471</v>
      </c>
    </row>
    <row r="110" spans="1:12" x14ac:dyDescent="0.2">
      <c r="A110" s="1">
        <v>42970.496145833335</v>
      </c>
      <c r="B110">
        <v>1206.481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1.7317739999999999</v>
      </c>
      <c r="I110">
        <v>1.8169999999999999</v>
      </c>
      <c r="J110">
        <v>3.3317990000000002</v>
      </c>
      <c r="K110">
        <v>97.766109999999998</v>
      </c>
      <c r="L110">
        <v>353.93020000000001</v>
      </c>
    </row>
    <row r="111" spans="1:12" x14ac:dyDescent="0.2">
      <c r="A111" s="1">
        <v>42970.496701388889</v>
      </c>
      <c r="B111">
        <v>1254.951</v>
      </c>
      <c r="C111">
        <v>36</v>
      </c>
      <c r="D111" t="s">
        <v>35</v>
      </c>
      <c r="E111" t="s">
        <v>3</v>
      </c>
      <c r="F111" t="s">
        <v>4</v>
      </c>
      <c r="G111">
        <v>3.5193650000000001</v>
      </c>
      <c r="H111">
        <v>1.721258</v>
      </c>
      <c r="I111">
        <v>2.193816</v>
      </c>
      <c r="J111">
        <v>9.9125870000000003</v>
      </c>
      <c r="K111">
        <v>32.143839999999997</v>
      </c>
      <c r="L111">
        <v>353.27800000000002</v>
      </c>
    </row>
    <row r="112" spans="1:12" x14ac:dyDescent="0.2">
      <c r="A112" s="1">
        <v>42970.496840277781</v>
      </c>
      <c r="B112">
        <v>1267.0350000000001</v>
      </c>
      <c r="C112">
        <v>36</v>
      </c>
      <c r="D112" t="s">
        <v>36</v>
      </c>
      <c r="E112" t="s">
        <v>3</v>
      </c>
      <c r="F112" t="s">
        <v>4</v>
      </c>
      <c r="G112">
        <v>5.1758199999999999</v>
      </c>
      <c r="H112">
        <v>1.7274620000000001</v>
      </c>
      <c r="I112">
        <v>2.281307</v>
      </c>
      <c r="J112">
        <v>4.5643969999999996</v>
      </c>
      <c r="K112">
        <v>2.7510219999999999</v>
      </c>
      <c r="L112">
        <v>353.55259999999998</v>
      </c>
    </row>
    <row r="113" spans="1:12" x14ac:dyDescent="0.2">
      <c r="A113" s="1">
        <v>42970.496851851851</v>
      </c>
      <c r="B113">
        <v>1268.2239999999999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1.721735</v>
      </c>
      <c r="I113">
        <v>0.09</v>
      </c>
      <c r="J113">
        <v>7.1712550000000004</v>
      </c>
      <c r="K113">
        <v>1.8738250000000001</v>
      </c>
      <c r="L113">
        <v>352.29039999999998</v>
      </c>
    </row>
    <row r="114" spans="1:12" x14ac:dyDescent="0.2">
      <c r="A114" s="1">
        <v>42970.496874999997</v>
      </c>
      <c r="B114">
        <v>1269.328</v>
      </c>
      <c r="C114">
        <v>37</v>
      </c>
      <c r="D114" t="s">
        <v>35</v>
      </c>
      <c r="E114" t="s">
        <v>6</v>
      </c>
      <c r="F114" t="s">
        <v>33</v>
      </c>
      <c r="G114">
        <v>-4.1073519999999997</v>
      </c>
      <c r="H114">
        <v>1.719411</v>
      </c>
      <c r="I114">
        <v>7.7819680000000002E-2</v>
      </c>
      <c r="J114">
        <v>8.5006149999999998</v>
      </c>
      <c r="K114">
        <v>2.496175</v>
      </c>
      <c r="L114">
        <v>352.30439999999999</v>
      </c>
    </row>
    <row r="115" spans="1:12" x14ac:dyDescent="0.2">
      <c r="A115" s="1">
        <v>42970.496944444443</v>
      </c>
      <c r="B115">
        <v>1275.655</v>
      </c>
      <c r="C115">
        <v>37</v>
      </c>
      <c r="D115" t="s">
        <v>36</v>
      </c>
      <c r="E115" t="s">
        <v>6</v>
      </c>
      <c r="F115" t="s">
        <v>33</v>
      </c>
      <c r="G115">
        <v>-3.9444849999999998</v>
      </c>
      <c r="H115">
        <v>1.7147319999999999</v>
      </c>
      <c r="I115">
        <v>-1.8068230000000001</v>
      </c>
      <c r="J115">
        <v>6.1634359999999999</v>
      </c>
      <c r="K115">
        <v>90.821510000000004</v>
      </c>
      <c r="L115">
        <v>352.709</v>
      </c>
    </row>
    <row r="116" spans="1:12" x14ac:dyDescent="0.2">
      <c r="A116" s="1">
        <v>42970.497013888889</v>
      </c>
      <c r="B116">
        <v>1281.296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1.729732</v>
      </c>
      <c r="I116">
        <v>-4.3440000000000003</v>
      </c>
      <c r="J116">
        <v>4.798616</v>
      </c>
      <c r="K116">
        <v>293.65370000000001</v>
      </c>
      <c r="L116">
        <v>356.87860000000001</v>
      </c>
    </row>
    <row r="117" spans="1:12" x14ac:dyDescent="0.2">
      <c r="A117" s="1">
        <v>42970.497037037036</v>
      </c>
      <c r="B117">
        <v>1283.6559999999999</v>
      </c>
      <c r="C117">
        <v>38</v>
      </c>
      <c r="D117" t="s">
        <v>35</v>
      </c>
      <c r="E117" t="s">
        <v>2</v>
      </c>
      <c r="F117" t="s">
        <v>0</v>
      </c>
      <c r="G117">
        <v>3.6547679999999998</v>
      </c>
      <c r="H117">
        <v>1.721184</v>
      </c>
      <c r="I117">
        <v>-4.3256139999999998</v>
      </c>
      <c r="J117">
        <v>6.8069179999999996</v>
      </c>
      <c r="K117">
        <v>228.55520000000001</v>
      </c>
      <c r="L117">
        <v>354.56740000000002</v>
      </c>
    </row>
    <row r="118" spans="1:12" x14ac:dyDescent="0.2">
      <c r="A118" s="1">
        <v>42970.497083333335</v>
      </c>
      <c r="B118">
        <v>1287.69</v>
      </c>
      <c r="C118">
        <v>38</v>
      </c>
      <c r="D118" t="s">
        <v>36</v>
      </c>
      <c r="E118" t="s">
        <v>2</v>
      </c>
      <c r="F118" t="s">
        <v>0</v>
      </c>
      <c r="G118">
        <v>5.2380079999999998</v>
      </c>
      <c r="H118">
        <v>1.7305809999999999</v>
      </c>
      <c r="I118">
        <v>-4.2963969999999998</v>
      </c>
      <c r="J118">
        <v>4.6523349999999999</v>
      </c>
      <c r="K118">
        <v>221.1146</v>
      </c>
      <c r="L118">
        <v>355.2131</v>
      </c>
    </row>
    <row r="119" spans="1:12" x14ac:dyDescent="0.2">
      <c r="A119" s="1">
        <v>42970.497094907405</v>
      </c>
      <c r="B119">
        <v>1288.711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1.724815</v>
      </c>
      <c r="I119">
        <v>4.1399999999999997</v>
      </c>
      <c r="J119">
        <v>5.6479629999999998</v>
      </c>
      <c r="K119">
        <v>217.19730000000001</v>
      </c>
      <c r="L119">
        <v>351.97160000000002</v>
      </c>
    </row>
    <row r="120" spans="1:12" x14ac:dyDescent="0.2">
      <c r="A120" s="1">
        <v>42970.497106481482</v>
      </c>
      <c r="B120">
        <v>1290.117</v>
      </c>
      <c r="C120">
        <v>39</v>
      </c>
      <c r="D120" t="s">
        <v>35</v>
      </c>
      <c r="E120" t="s">
        <v>1</v>
      </c>
      <c r="F120" t="s">
        <v>5</v>
      </c>
      <c r="G120">
        <v>-4.0609859999999998</v>
      </c>
      <c r="H120">
        <v>1.721557</v>
      </c>
      <c r="I120">
        <v>4.1446440000000004</v>
      </c>
      <c r="J120">
        <v>6.4521379999999997</v>
      </c>
      <c r="K120">
        <v>219.83260000000001</v>
      </c>
      <c r="L120">
        <v>351.94349999999997</v>
      </c>
    </row>
    <row r="121" spans="1:12" x14ac:dyDescent="0.2">
      <c r="A121" s="1">
        <v>42970.49728009259</v>
      </c>
      <c r="B121">
        <v>1304.8130000000001</v>
      </c>
      <c r="C121">
        <v>39</v>
      </c>
      <c r="D121" t="s">
        <v>36</v>
      </c>
      <c r="E121" t="s">
        <v>1</v>
      </c>
      <c r="F121" t="s">
        <v>5</v>
      </c>
      <c r="G121">
        <v>-3.1105680000000002</v>
      </c>
      <c r="H121">
        <v>1.724467</v>
      </c>
      <c r="I121">
        <v>2.1580279999999998</v>
      </c>
      <c r="J121">
        <v>4.0967370000000001</v>
      </c>
      <c r="K121">
        <v>52.373519999999999</v>
      </c>
      <c r="L121">
        <v>356.80399999999997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(40)'!$C$2:$L$248,3,0)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(40)'!$C$2:$L$248,5,1)</f>
        <v>-4.0473470000000002</v>
      </c>
      <c r="G2" s="3">
        <f>VLOOKUP($A2,'Summary Data (40)'!$C$2:$L$248,6,1)</f>
        <v>1.744359</v>
      </c>
      <c r="H2" s="3">
        <f>VLOOKUP($A2,'Summary Data (40)'!$C$2:$L$248,7,1)</f>
        <v>-0.9192977</v>
      </c>
      <c r="I2" s="3" t="str">
        <f>VLOOKUP($A2,'Summary Data (40)'!$C$2:$L$248,4,0)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4.5219827330314182</v>
      </c>
      <c r="N2" s="3">
        <f t="shared" ref="N2:N41" si="1">ABS(SQRT((F2-C2)^2+(H2-E2)^2))</f>
        <v>8.3025781348948655</v>
      </c>
      <c r="O2" s="3">
        <f t="shared" ref="O2:O41" si="2">ABS(SQRT((J2-C2)^2+(L2-E2)^2))</f>
        <v>4.3718971854333439</v>
      </c>
      <c r="P2" s="3">
        <f t="shared" ref="P2:P41" si="3">(N2-O2)</f>
        <v>3.9306809494615216</v>
      </c>
      <c r="Q2" s="5">
        <f t="shared" ref="Q2:Q41" si="4">P2/O2</f>
        <v>0.89907899997239094</v>
      </c>
      <c r="R2" s="3">
        <f t="shared" ref="R2:R41" si="5">ATAN2(J2-C2,L2-E2)*180/PI()</f>
        <v>177.02371934116897</v>
      </c>
      <c r="S2" s="3">
        <f t="shared" ref="S2:S41" si="6">ATAN2(F2-C2,H2-E2)*180/PI()</f>
        <v>155.63886430656424</v>
      </c>
      <c r="T2" s="3">
        <f t="shared" ref="T2:T41" si="7">IF(ABS(R2-S2)&gt;180,360-ABS(R2-S2),ABS(R2-S2))</f>
        <v>21.384855034604726</v>
      </c>
      <c r="U2" s="3">
        <f>VLOOKUP($A2,'Summary Data (40)'!$C$2:$N$248,11,0)</f>
        <v>0</v>
      </c>
      <c r="V2" s="3">
        <f>VLOOKUP($A2,'Summary Data (40)'!$C$2:$N$248,12,1)</f>
        <v>0</v>
      </c>
      <c r="W2" s="3">
        <f>VLOOKUP($A2,'Summary Data (40)'!$C$2:$N$248,11,1)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(40)'!$C$2:$L$248,3,0)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(40)'!$C$2:$L$248,5,1)</f>
        <v>1.599178</v>
      </c>
      <c r="G3" s="3">
        <f>VLOOKUP($A3,'Summary Data (40)'!$C$2:$L$248,6,1)</f>
        <v>1.7174769999999999</v>
      </c>
      <c r="H3" s="3">
        <f>VLOOKUP($A3,'Summary Data (40)'!$C$2:$L$248,7,1)</f>
        <v>-5.2668910000000002</v>
      </c>
      <c r="I3" s="3" t="str">
        <f>VLOOKUP($A3,'Summary Data (40)'!$C$2:$L$248,4,0)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2.1274243529594652</v>
      </c>
      <c r="N3" s="3">
        <f t="shared" si="1"/>
        <v>8.1462133260530933</v>
      </c>
      <c r="O3" s="3">
        <f t="shared" si="2"/>
        <v>7.8871175977032326</v>
      </c>
      <c r="P3" s="3">
        <f t="shared" si="3"/>
        <v>0.25909572834986072</v>
      </c>
      <c r="Q3" s="5">
        <f t="shared" si="4"/>
        <v>3.2850496412695898E-2</v>
      </c>
      <c r="R3" s="3">
        <f t="shared" si="5"/>
        <v>-63.65586590726528</v>
      </c>
      <c r="S3" s="3">
        <f t="shared" si="6"/>
        <v>-78.793521569431107</v>
      </c>
      <c r="T3" s="3">
        <f t="shared" si="7"/>
        <v>15.137655662165827</v>
      </c>
      <c r="U3" s="3">
        <f>VLOOKUP($A3,'Summary Data (40)'!$C$2:$N$248,11,0)</f>
        <v>0</v>
      </c>
      <c r="V3" s="3">
        <f>VLOOKUP($A3,'Summary Data (40)'!$C$2:$N$248,12,1)</f>
        <v>0</v>
      </c>
      <c r="W3" s="3">
        <f>VLOOKUP($A3,'Summary Data (40)'!$C$2:$N$248,11,1)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(40)'!$C$2:$L$248,3,0)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(40)'!$C$2:$L$248,5,1)</f>
        <v>4.2175060000000002</v>
      </c>
      <c r="G4" s="3">
        <f>VLOOKUP($A4,'Summary Data (40)'!$C$2:$L$248,6,1)</f>
        <v>1.6972739999999999</v>
      </c>
      <c r="H4" s="3">
        <f>VLOOKUP($A4,'Summary Data (40)'!$C$2:$L$248,7,1)</f>
        <v>0.96493700000000004</v>
      </c>
      <c r="I4" s="3" t="str">
        <f>VLOOKUP($A4,'Summary Data (40)'!$C$2:$L$248,4,0)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1.1996673455608433</v>
      </c>
      <c r="N4" s="3">
        <f t="shared" si="1"/>
        <v>8.5344503566430685</v>
      </c>
      <c r="O4" s="3">
        <f t="shared" si="2"/>
        <v>8.0292617967033557</v>
      </c>
      <c r="P4" s="3">
        <f t="shared" si="3"/>
        <v>0.50518855993971279</v>
      </c>
      <c r="Q4" s="5">
        <f t="shared" si="4"/>
        <v>6.2918431697809682E-2</v>
      </c>
      <c r="R4" s="3">
        <f t="shared" si="5"/>
        <v>23.666151625811782</v>
      </c>
      <c r="S4" s="3">
        <f t="shared" si="6"/>
        <v>16.129411690997635</v>
      </c>
      <c r="T4" s="3">
        <f t="shared" si="7"/>
        <v>7.5367399348141468</v>
      </c>
      <c r="U4" s="3">
        <f>VLOOKUP($A4,'Summary Data (40)'!$C$2:$N$248,11,0)</f>
        <v>0</v>
      </c>
      <c r="V4" s="3">
        <f>VLOOKUP($A4,'Summary Data (40)'!$C$2:$N$248,12,1)</f>
        <v>0</v>
      </c>
      <c r="W4" s="3">
        <f>VLOOKUP($A4,'Summary Data (40)'!$C$2:$N$248,11,1)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(40)'!$C$2:$L$248,3,0)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(40)'!$C$2:$L$248,5,1)</f>
        <v>-1.1784730000000001</v>
      </c>
      <c r="G5" s="3">
        <f>VLOOKUP($A5,'Summary Data (40)'!$C$2:$L$248,6,1)</f>
        <v>1.7364889999999999</v>
      </c>
      <c r="H5" s="3">
        <f>VLOOKUP($A5,'Summary Data (40)'!$C$2:$L$248,7,1)</f>
        <v>0.73543069999999999</v>
      </c>
      <c r="I5" s="3" t="str">
        <f>VLOOKUP($A5,'Summary Data (40)'!$C$2:$L$248,4,0)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4.4725998028251404</v>
      </c>
      <c r="N5" s="3">
        <f t="shared" si="1"/>
        <v>4.8635355668517004</v>
      </c>
      <c r="O5" s="3">
        <f t="shared" si="2"/>
        <v>8.8659173242253964</v>
      </c>
      <c r="P5" s="3">
        <f t="shared" si="3"/>
        <v>-4.0023817573736959</v>
      </c>
      <c r="Q5" s="5">
        <f t="shared" si="4"/>
        <v>-0.45143459057953472</v>
      </c>
      <c r="R5" s="3">
        <f t="shared" si="5"/>
        <v>111.35858600069317</v>
      </c>
      <c r="S5" s="3">
        <f t="shared" si="6"/>
        <v>93.872584738881059</v>
      </c>
      <c r="T5" s="3">
        <f t="shared" si="7"/>
        <v>17.486001261812106</v>
      </c>
      <c r="U5" s="3">
        <f>VLOOKUP($A5,'Summary Data (40)'!$C$2:$N$248,11,0)</f>
        <v>0</v>
      </c>
      <c r="V5" s="3">
        <f>VLOOKUP($A5,'Summary Data (40)'!$C$2:$N$248,12,1)</f>
        <v>0</v>
      </c>
      <c r="W5" s="3">
        <f>VLOOKUP($A5,'Summary Data (40)'!$C$2:$N$248,11,1)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(40)'!$C$2:$L$248,3,0)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(40)'!$C$2:$L$248,5,1)</f>
        <v>0.78415559999999995</v>
      </c>
      <c r="G6" s="3">
        <f>VLOOKUP($A6,'Summary Data (40)'!$C$2:$L$248,6,1)</f>
        <v>1.741195</v>
      </c>
      <c r="H6" s="3">
        <f>VLOOKUP($A6,'Summary Data (40)'!$C$2:$L$248,7,1)</f>
        <v>-1.7101310000000001</v>
      </c>
      <c r="I6" s="3" t="str">
        <f>VLOOKUP($A6,'Summary Data (40)'!$C$2:$L$248,4,0)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3.3010030952079341</v>
      </c>
      <c r="N6" s="3">
        <f t="shared" si="1"/>
        <v>4.3752449552650603</v>
      </c>
      <c r="O6" s="3">
        <f t="shared" si="2"/>
        <v>2.5489458605470614</v>
      </c>
      <c r="P6" s="3">
        <f t="shared" si="3"/>
        <v>1.8262990947179989</v>
      </c>
      <c r="Q6" s="5">
        <f t="shared" si="4"/>
        <v>0.71649191259246037</v>
      </c>
      <c r="R6" s="3">
        <f t="shared" si="5"/>
        <v>-77.654050540796021</v>
      </c>
      <c r="S6" s="3">
        <f t="shared" si="6"/>
        <v>-126.27793266805257</v>
      </c>
      <c r="T6" s="3">
        <f t="shared" si="7"/>
        <v>48.62388212725655</v>
      </c>
      <c r="U6" s="3">
        <f>VLOOKUP($A6,'Summary Data (40)'!$C$2:$N$248,11,0)</f>
        <v>0</v>
      </c>
      <c r="V6" s="3">
        <f>VLOOKUP($A6,'Summary Data (40)'!$C$2:$N$248,12,1)</f>
        <v>0</v>
      </c>
      <c r="W6" s="3">
        <f>VLOOKUP($A6,'Summary Data (40)'!$C$2:$N$248,11,1)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(40)'!$C$2:$L$248,3,0)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(40)'!$C$2:$L$248,5,1)</f>
        <v>-2.1513270000000002</v>
      </c>
      <c r="G7" s="3">
        <f>VLOOKUP($A7,'Summary Data (40)'!$C$2:$L$248,6,1)</f>
        <v>1.7377530000000001</v>
      </c>
      <c r="H7" s="3">
        <f>VLOOKUP($A7,'Summary Data (40)'!$C$2:$L$248,7,1)</f>
        <v>-1.0859939999999999</v>
      </c>
      <c r="I7" s="3" t="str">
        <f>VLOOKUP($A7,'Summary Data (40)'!$C$2:$L$248,4,0)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3.298552611823101</v>
      </c>
      <c r="N7" s="3">
        <f t="shared" si="1"/>
        <v>6.5370634401820675</v>
      </c>
      <c r="O7" s="3">
        <f t="shared" si="2"/>
        <v>4.3718971854333439</v>
      </c>
      <c r="P7" s="3">
        <f t="shared" si="3"/>
        <v>2.1651662547487236</v>
      </c>
      <c r="Q7" s="5">
        <f t="shared" si="4"/>
        <v>0.49524637998414217</v>
      </c>
      <c r="R7" s="3">
        <f t="shared" si="5"/>
        <v>177.02371934116897</v>
      </c>
      <c r="S7" s="3">
        <f t="shared" si="6"/>
        <v>150.1064702957253</v>
      </c>
      <c r="T7" s="3">
        <f t="shared" si="7"/>
        <v>26.917249045443668</v>
      </c>
      <c r="U7" s="3">
        <f>VLOOKUP($A7,'Summary Data (40)'!$C$2:$N$248,11,0)</f>
        <v>0</v>
      </c>
      <c r="V7" s="3">
        <f>VLOOKUP($A7,'Summary Data (40)'!$C$2:$N$248,12,1)</f>
        <v>0</v>
      </c>
      <c r="W7" s="3">
        <f>VLOOKUP($A7,'Summary Data (40)'!$C$2:$N$248,11,1)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(40)'!$C$2:$L$248,3,0)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(40)'!$C$2:$L$248,5,1)</f>
        <v>-1.7117880000000001</v>
      </c>
      <c r="G8" s="3">
        <f>VLOOKUP($A8,'Summary Data (40)'!$C$2:$L$248,6,1)</f>
        <v>1.732756</v>
      </c>
      <c r="H8" s="3">
        <f>VLOOKUP($A8,'Summary Data (40)'!$C$2:$L$248,7,1)</f>
        <v>-0.8108419</v>
      </c>
      <c r="I8" s="3" t="str">
        <f>VLOOKUP($A8,'Summary Data (40)'!$C$2:$L$248,4,0)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2.3459616929821356</v>
      </c>
      <c r="N8" s="3">
        <f t="shared" si="1"/>
        <v>2.5618229692427246</v>
      </c>
      <c r="O8" s="3">
        <f t="shared" si="2"/>
        <v>1.5015515309172709</v>
      </c>
      <c r="P8" s="3">
        <f t="shared" si="3"/>
        <v>1.0602714383254537</v>
      </c>
      <c r="Q8" s="5">
        <f t="shared" si="4"/>
        <v>0.70611725038684015</v>
      </c>
      <c r="R8" s="3">
        <f t="shared" si="5"/>
        <v>-85.071579131103505</v>
      </c>
      <c r="S8" s="3">
        <f t="shared" si="6"/>
        <v>-20.587716729237318</v>
      </c>
      <c r="T8" s="3">
        <f t="shared" si="7"/>
        <v>64.48386240186619</v>
      </c>
      <c r="U8" s="3">
        <f>VLOOKUP($A8,'Summary Data (40)'!$C$2:$N$248,11,0)</f>
        <v>0</v>
      </c>
      <c r="V8" s="3">
        <f>VLOOKUP($A8,'Summary Data (40)'!$C$2:$N$248,12,1)</f>
        <v>0</v>
      </c>
      <c r="W8" s="3">
        <f>VLOOKUP($A8,'Summary Data (40)'!$C$2:$N$248,11,1)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(40)'!$C$2:$L$248,3,0)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(40)'!$C$2:$L$248,5,1)</f>
        <v>-1.0585869999999999</v>
      </c>
      <c r="G9" s="3">
        <f>VLOOKUP($A9,'Summary Data (40)'!$C$2:$L$248,6,1)</f>
        <v>1.7279370000000001</v>
      </c>
      <c r="H9" s="3">
        <f>VLOOKUP($A9,'Summary Data (40)'!$C$2:$L$248,7,1)</f>
        <v>1.144269</v>
      </c>
      <c r="I9" s="3" t="str">
        <f>VLOOKUP($A9,'Summary Data (40)'!$C$2:$L$248,4,0)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4.2540920200355323</v>
      </c>
      <c r="N9" s="3">
        <f t="shared" si="1"/>
        <v>5.2654021714328723</v>
      </c>
      <c r="O9" s="3">
        <f t="shared" si="2"/>
        <v>8.8659173242253964</v>
      </c>
      <c r="P9" s="3">
        <f t="shared" si="3"/>
        <v>-3.6005151527925241</v>
      </c>
      <c r="Q9" s="5">
        <f t="shared" si="4"/>
        <v>-0.40610745861056136</v>
      </c>
      <c r="R9" s="3">
        <f t="shared" si="5"/>
        <v>111.35858600069317</v>
      </c>
      <c r="S9" s="3">
        <f t="shared" si="6"/>
        <v>92.270345634586135</v>
      </c>
      <c r="T9" s="3">
        <f t="shared" si="7"/>
        <v>19.08824036610703</v>
      </c>
      <c r="U9" s="3">
        <f>VLOOKUP($A9,'Summary Data (40)'!$C$2:$N$248,11,0)</f>
        <v>0</v>
      </c>
      <c r="V9" s="3">
        <f>VLOOKUP($A9,'Summary Data (40)'!$C$2:$N$248,12,1)</f>
        <v>0</v>
      </c>
      <c r="W9" s="3">
        <f>VLOOKUP($A9,'Summary Data (40)'!$C$2:$N$248,11,1)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(40)'!$C$2:$L$248,3,0)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(40)'!$C$2:$L$248,5,1)</f>
        <v>1.3484989999999999</v>
      </c>
      <c r="G10" s="3">
        <f>VLOOKUP($A10,'Summary Data (40)'!$C$2:$L$248,6,1)</f>
        <v>1.728925</v>
      </c>
      <c r="H10" s="3">
        <f>VLOOKUP($A10,'Summary Data (40)'!$C$2:$L$248,7,1)</f>
        <v>-4.1805339999999998</v>
      </c>
      <c r="I10" s="3" t="str">
        <f>VLOOKUP($A10,'Summary Data (40)'!$C$2:$L$248,4,0)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2.1736563017544888</v>
      </c>
      <c r="N10" s="3">
        <f t="shared" si="1"/>
        <v>7.0319373818427167</v>
      </c>
      <c r="O10" s="3">
        <f t="shared" si="2"/>
        <v>7.8871175977032326</v>
      </c>
      <c r="P10" s="3">
        <f t="shared" si="3"/>
        <v>-0.85518021586051596</v>
      </c>
      <c r="Q10" s="5">
        <f t="shared" si="4"/>
        <v>-0.10842747116000256</v>
      </c>
      <c r="R10" s="3">
        <f t="shared" si="5"/>
        <v>-63.65586590726528</v>
      </c>
      <c r="S10" s="3">
        <f t="shared" si="6"/>
        <v>-79.076834704151622</v>
      </c>
      <c r="T10" s="3">
        <f t="shared" si="7"/>
        <v>15.420968796886342</v>
      </c>
      <c r="U10" s="3">
        <f>VLOOKUP($A10,'Summary Data (40)'!$C$2:$N$248,11,0)</f>
        <v>0</v>
      </c>
      <c r="V10" s="3">
        <f>VLOOKUP($A10,'Summary Data (40)'!$C$2:$N$248,12,1)</f>
        <v>0</v>
      </c>
      <c r="W10" s="3">
        <f>VLOOKUP($A10,'Summary Data (40)'!$C$2:$N$248,11,1)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(40)'!$C$2:$L$248,3,0)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(40)'!$C$2:$L$248,5,1)</f>
        <v>-2.5547569999999999</v>
      </c>
      <c r="G11" s="3">
        <f>VLOOKUP($A11,'Summary Data (40)'!$C$2:$L$248,6,1)</f>
        <v>1.708167</v>
      </c>
      <c r="H11" s="3">
        <f>VLOOKUP($A11,'Summary Data (40)'!$C$2:$L$248,7,1)</f>
        <v>-0.84504670000000004</v>
      </c>
      <c r="I11" s="3" t="str">
        <f>VLOOKUP($A11,'Summary Data (40)'!$C$2:$L$248,4,0)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1.5325918242734722</v>
      </c>
      <c r="N11" s="3">
        <f t="shared" si="1"/>
        <v>1.8146881606022263</v>
      </c>
      <c r="O11" s="3">
        <f t="shared" si="2"/>
        <v>1.5015515309172709</v>
      </c>
      <c r="P11" s="3">
        <f t="shared" si="3"/>
        <v>0.31313662968495537</v>
      </c>
      <c r="Q11" s="5">
        <f t="shared" si="4"/>
        <v>0.20854204683449379</v>
      </c>
      <c r="R11" s="3">
        <f t="shared" si="5"/>
        <v>-85.071579131103505</v>
      </c>
      <c r="S11" s="3">
        <f t="shared" si="6"/>
        <v>-31.015221357209786</v>
      </c>
      <c r="T11" s="3">
        <f t="shared" si="7"/>
        <v>54.056357773893723</v>
      </c>
      <c r="U11" s="3">
        <f>VLOOKUP($A11,'Summary Data (40)'!$C$2:$N$248,11,0)</f>
        <v>0</v>
      </c>
      <c r="V11" s="3">
        <f>VLOOKUP($A11,'Summary Data (40)'!$C$2:$N$248,12,1)</f>
        <v>0</v>
      </c>
      <c r="W11" s="3">
        <f>VLOOKUP($A11,'Summary Data (40)'!$C$2:$N$248,11,1)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(40)'!$C$2:$L$248,3,0)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(40)'!$C$2:$L$248,5,1)</f>
        <v>-2.0700940000000001</v>
      </c>
      <c r="G12" s="3">
        <f>VLOOKUP($A12,'Summary Data (40)'!$C$2:$L$248,6,1)</f>
        <v>1.740607</v>
      </c>
      <c r="H12" s="3">
        <f>VLOOKUP($A12,'Summary Data (40)'!$C$2:$L$248,7,1)</f>
        <v>-0.67016819999999999</v>
      </c>
      <c r="I12" s="3" t="str">
        <f>VLOOKUP($A12,'Summary Data (40)'!$C$2:$L$248,4,0)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3.9839886981174084</v>
      </c>
      <c r="N12" s="3">
        <f t="shared" si="1"/>
        <v>5.212813197221557</v>
      </c>
      <c r="O12" s="3">
        <f t="shared" si="2"/>
        <v>4.3329067610554466</v>
      </c>
      <c r="P12" s="3">
        <f t="shared" si="3"/>
        <v>0.87990643616611042</v>
      </c>
      <c r="Q12" s="5">
        <f t="shared" si="4"/>
        <v>0.20307532210819493</v>
      </c>
      <c r="R12" s="3">
        <f t="shared" si="5"/>
        <v>-19.074748100261683</v>
      </c>
      <c r="S12" s="3">
        <f t="shared" si="6"/>
        <v>-67.332761544438156</v>
      </c>
      <c r="T12" s="3">
        <f t="shared" si="7"/>
        <v>48.25801344417647</v>
      </c>
      <c r="U12" s="3">
        <f>VLOOKUP($A12,'Summary Data (40)'!$C$2:$N$248,11,0)</f>
        <v>0</v>
      </c>
      <c r="V12" s="3">
        <f>VLOOKUP($A12,'Summary Data (40)'!$C$2:$N$248,12,1)</f>
        <v>0</v>
      </c>
      <c r="W12" s="3">
        <f>VLOOKUP($A12,'Summary Data (40)'!$C$2:$N$248,11,1)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(40)'!$C$2:$L$248,3,0)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(40)'!$C$2:$L$248,5,1)</f>
        <v>-1.8053440000000001</v>
      </c>
      <c r="G13" s="3">
        <f>VLOOKUP($A13,'Summary Data (40)'!$C$2:$L$248,6,1)</f>
        <v>1.735981</v>
      </c>
      <c r="H13" s="3">
        <f>VLOOKUP($A13,'Summary Data (40)'!$C$2:$L$248,7,1)</f>
        <v>-1.2575940000000001</v>
      </c>
      <c r="I13" s="3" t="str">
        <f>VLOOKUP($A13,'Summary Data (40)'!$C$2:$L$248,4,0)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3.0147777415875954</v>
      </c>
      <c r="N13" s="3">
        <f t="shared" si="1"/>
        <v>6.1516342514141718</v>
      </c>
      <c r="O13" s="3">
        <f t="shared" si="2"/>
        <v>4.3718971854333439</v>
      </c>
      <c r="P13" s="3">
        <f t="shared" si="3"/>
        <v>1.7797370659808278</v>
      </c>
      <c r="Q13" s="5">
        <f t="shared" si="4"/>
        <v>0.40708575487792942</v>
      </c>
      <c r="R13" s="3">
        <f t="shared" si="5"/>
        <v>177.02371934116897</v>
      </c>
      <c r="S13" s="3">
        <f t="shared" si="6"/>
        <v>149.88605350431024</v>
      </c>
      <c r="T13" s="3">
        <f t="shared" si="7"/>
        <v>27.13766583685873</v>
      </c>
      <c r="U13" s="3">
        <f>VLOOKUP($A13,'Summary Data (40)'!$C$2:$N$248,11,0)</f>
        <v>0</v>
      </c>
      <c r="V13" s="3">
        <f>VLOOKUP($A13,'Summary Data (40)'!$C$2:$N$248,12,1)</f>
        <v>0</v>
      </c>
      <c r="W13" s="3">
        <f>VLOOKUP($A13,'Summary Data (40)'!$C$2:$N$248,11,1)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(40)'!$C$2:$L$248,3,0)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(40)'!$C$2:$L$248,5,1)</f>
        <v>4.2484640000000002</v>
      </c>
      <c r="G14" s="3">
        <f>VLOOKUP($A14,'Summary Data (40)'!$C$2:$L$248,6,1)</f>
        <v>1.713487</v>
      </c>
      <c r="H14" s="3">
        <f>VLOOKUP($A14,'Summary Data (40)'!$C$2:$L$248,7,1)</f>
        <v>1.346719</v>
      </c>
      <c r="I14" s="3" t="str">
        <f>VLOOKUP($A14,'Summary Data (40)'!$C$2:$L$248,4,0)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0.9937813815206038</v>
      </c>
      <c r="N14" s="3">
        <f t="shared" si="1"/>
        <v>8.6776459722817112</v>
      </c>
      <c r="O14" s="3">
        <f t="shared" si="2"/>
        <v>8.0292617967033557</v>
      </c>
      <c r="P14" s="3">
        <f t="shared" si="3"/>
        <v>0.64838417557835548</v>
      </c>
      <c r="Q14" s="5">
        <f t="shared" si="4"/>
        <v>8.0752650990227798E-2</v>
      </c>
      <c r="R14" s="3">
        <f t="shared" si="5"/>
        <v>23.666151625811782</v>
      </c>
      <c r="S14" s="3">
        <f t="shared" si="6"/>
        <v>18.494858467339562</v>
      </c>
      <c r="T14" s="3">
        <f t="shared" si="7"/>
        <v>5.1712931584722206</v>
      </c>
      <c r="U14" s="3">
        <f>VLOOKUP($A14,'Summary Data (40)'!$C$2:$N$248,11,0)</f>
        <v>0</v>
      </c>
      <c r="V14" s="3">
        <f>VLOOKUP($A14,'Summary Data (40)'!$C$2:$N$248,12,1)</f>
        <v>0</v>
      </c>
      <c r="W14" s="3">
        <f>VLOOKUP($A14,'Summary Data (40)'!$C$2:$N$248,11,1)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(40)'!$C$2:$L$248,3,0)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(40)'!$C$2:$L$248,5,1)</f>
        <v>-1.074219</v>
      </c>
      <c r="G15" s="3">
        <f>VLOOKUP($A15,'Summary Data (40)'!$C$2:$L$248,6,1)</f>
        <v>1.7376579999999999</v>
      </c>
      <c r="H15" s="3">
        <f>VLOOKUP($A15,'Summary Data (40)'!$C$2:$L$248,7,1)</f>
        <v>-0.91814399999999996</v>
      </c>
      <c r="I15" s="3" t="str">
        <f>VLOOKUP($A15,'Summary Data (40)'!$C$2:$L$248,4,0)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2.9474360482794189</v>
      </c>
      <c r="N15" s="3">
        <f t="shared" si="1"/>
        <v>3.1987998694349415</v>
      </c>
      <c r="O15" s="3">
        <f t="shared" si="2"/>
        <v>1.5015515309172709</v>
      </c>
      <c r="P15" s="3">
        <f t="shared" si="3"/>
        <v>1.6972483385176707</v>
      </c>
      <c r="Q15" s="5">
        <f t="shared" si="4"/>
        <v>1.1303297313285359</v>
      </c>
      <c r="R15" s="3">
        <f t="shared" si="5"/>
        <v>-85.071579131103505</v>
      </c>
      <c r="S15" s="3">
        <f t="shared" si="6"/>
        <v>-18.370666250183906</v>
      </c>
      <c r="T15" s="3">
        <f t="shared" si="7"/>
        <v>66.700912880919603</v>
      </c>
      <c r="U15" s="3">
        <f>VLOOKUP($A15,'Summary Data (40)'!$C$2:$N$248,11,0)</f>
        <v>0</v>
      </c>
      <c r="V15" s="3">
        <f>VLOOKUP($A15,'Summary Data (40)'!$C$2:$N$248,12,1)</f>
        <v>0</v>
      </c>
      <c r="W15" s="3">
        <f>VLOOKUP($A15,'Summary Data (40)'!$C$2:$N$248,11,1)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(40)'!$C$2:$L$248,3,0)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(40)'!$C$2:$L$248,5,1)</f>
        <v>-0.59548869999999998</v>
      </c>
      <c r="G16" s="3">
        <f>VLOOKUP($A16,'Summary Data (40)'!$C$2:$L$248,6,1)</f>
        <v>1.732181</v>
      </c>
      <c r="H16" s="3">
        <f>VLOOKUP($A16,'Summary Data (40)'!$C$2:$L$248,7,1)</f>
        <v>-0.24411559999999999</v>
      </c>
      <c r="I16" s="3" t="str">
        <f>VLOOKUP($A16,'Summary Data (40)'!$C$2:$L$248,4,0)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3.0304502380324694</v>
      </c>
      <c r="N16" s="3">
        <f t="shared" si="1"/>
        <v>5.5995821782871484</v>
      </c>
      <c r="O16" s="3">
        <f t="shared" si="2"/>
        <v>4.3329067610554466</v>
      </c>
      <c r="P16" s="3">
        <f t="shared" si="3"/>
        <v>1.2666754172317019</v>
      </c>
      <c r="Q16" s="5">
        <f t="shared" si="4"/>
        <v>0.29233848939854734</v>
      </c>
      <c r="R16" s="3">
        <f t="shared" si="5"/>
        <v>-19.074748100261683</v>
      </c>
      <c r="S16" s="3">
        <f t="shared" si="6"/>
        <v>-51.53020298143344</v>
      </c>
      <c r="T16" s="3">
        <f t="shared" si="7"/>
        <v>32.455454881171761</v>
      </c>
      <c r="U16" s="3">
        <f>VLOOKUP($A16,'Summary Data (40)'!$C$2:$N$248,11,0)</f>
        <v>0</v>
      </c>
      <c r="V16" s="3">
        <f>VLOOKUP($A16,'Summary Data (40)'!$C$2:$N$248,12,1)</f>
        <v>0</v>
      </c>
      <c r="W16" s="3">
        <f>VLOOKUP($A16,'Summary Data (40)'!$C$2:$N$248,11,1)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(40)'!$C$2:$L$248,3,0)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(40)'!$C$2:$L$248,5,1)</f>
        <v>-4.3262409999999996</v>
      </c>
      <c r="G17" s="3">
        <f>VLOOKUP($A17,'Summary Data (40)'!$C$2:$L$248,6,1)</f>
        <v>1.7343660000000001</v>
      </c>
      <c r="H17" s="3">
        <f>VLOOKUP($A17,'Summary Data (40)'!$C$2:$L$248,7,1)</f>
        <v>-1.6624159999999999</v>
      </c>
      <c r="I17" s="3" t="str">
        <f>VLOOKUP($A17,'Summary Data (40)'!$C$2:$L$248,4,0)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1.7657072257701727</v>
      </c>
      <c r="N17" s="3">
        <f t="shared" si="1"/>
        <v>8.3034001280883114</v>
      </c>
      <c r="O17" s="3">
        <f t="shared" si="2"/>
        <v>8.0641771433916301</v>
      </c>
      <c r="P17" s="3">
        <f t="shared" si="3"/>
        <v>0.23922298469668135</v>
      </c>
      <c r="Q17" s="5">
        <f t="shared" si="4"/>
        <v>2.9664897043180403E-2</v>
      </c>
      <c r="R17" s="3">
        <f t="shared" si="5"/>
        <v>174.57078263739461</v>
      </c>
      <c r="S17" s="3">
        <f t="shared" si="6"/>
        <v>-173.15649296864328</v>
      </c>
      <c r="T17" s="3">
        <f t="shared" si="7"/>
        <v>12.272724393962108</v>
      </c>
      <c r="U17" s="3">
        <f>VLOOKUP($A17,'Summary Data (40)'!$C$2:$N$248,11,0)</f>
        <v>0</v>
      </c>
      <c r="V17" s="3">
        <f>VLOOKUP($A17,'Summary Data (40)'!$C$2:$N$248,12,1)</f>
        <v>0</v>
      </c>
      <c r="W17" s="3">
        <f>VLOOKUP($A17,'Summary Data (40)'!$C$2:$N$248,11,1)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(40)'!$C$2:$L$248,3,0)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(40)'!$C$2:$L$248,5,1)</f>
        <v>-1.254491</v>
      </c>
      <c r="G18" s="3">
        <f>VLOOKUP($A18,'Summary Data (40)'!$C$2:$L$248,6,1)</f>
        <v>1.733517</v>
      </c>
      <c r="H18" s="3">
        <f>VLOOKUP($A18,'Summary Data (40)'!$C$2:$L$248,7,1)</f>
        <v>-1.2710630000000001E-2</v>
      </c>
      <c r="I18" s="3" t="str">
        <f>VLOOKUP($A18,'Summary Data (40)'!$C$2:$L$248,4,0)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5.2144649962595393</v>
      </c>
      <c r="N18" s="3">
        <f t="shared" si="1"/>
        <v>4.9760942459539486</v>
      </c>
      <c r="O18" s="3">
        <f t="shared" si="2"/>
        <v>2.5489458605470614</v>
      </c>
      <c r="P18" s="3">
        <f t="shared" si="3"/>
        <v>2.4271483854068872</v>
      </c>
      <c r="Q18" s="5">
        <f t="shared" si="4"/>
        <v>0.95221653114514027</v>
      </c>
      <c r="R18" s="3">
        <f t="shared" si="5"/>
        <v>-77.654050540796021</v>
      </c>
      <c r="S18" s="3">
        <f t="shared" si="6"/>
        <v>-158.42615031580769</v>
      </c>
      <c r="T18" s="3">
        <f t="shared" si="7"/>
        <v>80.772099775011668</v>
      </c>
      <c r="U18" s="3">
        <f>VLOOKUP($A18,'Summary Data (40)'!$C$2:$N$248,11,0)</f>
        <v>0</v>
      </c>
      <c r="V18" s="3">
        <f>VLOOKUP($A18,'Summary Data (40)'!$C$2:$N$248,12,1)</f>
        <v>0</v>
      </c>
      <c r="W18" s="3">
        <f>VLOOKUP($A18,'Summary Data (40)'!$C$2:$N$248,11,1)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(40)'!$C$2:$L$248,3,0)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(40)'!$C$2:$L$248,5,1)</f>
        <v>5.0931699999999998</v>
      </c>
      <c r="G19" s="3">
        <f>VLOOKUP($A19,'Summary Data (40)'!$C$2:$L$248,6,1)</f>
        <v>1.723009</v>
      </c>
      <c r="H19" s="3">
        <f>VLOOKUP($A19,'Summary Data (40)'!$C$2:$L$248,7,1)</f>
        <v>2.1228929999999999</v>
      </c>
      <c r="I19" s="3" t="str">
        <f>VLOOKUP($A19,'Summary Data (40)'!$C$2:$L$248,4,0)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1.7471563628791209</v>
      </c>
      <c r="N19" s="3">
        <f t="shared" si="1"/>
        <v>9.7362029043333411</v>
      </c>
      <c r="O19" s="3">
        <f t="shared" si="2"/>
        <v>8.0292617967033557</v>
      </c>
      <c r="P19" s="3">
        <f t="shared" si="3"/>
        <v>1.7069411076299854</v>
      </c>
      <c r="Q19" s="5">
        <f t="shared" si="4"/>
        <v>0.21259004262768205</v>
      </c>
      <c r="R19" s="3">
        <f t="shared" si="5"/>
        <v>23.666151625811782</v>
      </c>
      <c r="S19" s="3">
        <f t="shared" si="6"/>
        <v>21.25077486574521</v>
      </c>
      <c r="T19" s="3">
        <f t="shared" si="7"/>
        <v>2.4153767600665716</v>
      </c>
      <c r="U19" s="3">
        <f>VLOOKUP($A19,'Summary Data (40)'!$C$2:$N$248,11,0)</f>
        <v>0</v>
      </c>
      <c r="V19" s="3">
        <f>VLOOKUP($A19,'Summary Data (40)'!$C$2:$N$248,12,1)</f>
        <v>0</v>
      </c>
      <c r="W19" s="3">
        <f>VLOOKUP($A19,'Summary Data (40)'!$C$2:$N$248,11,1)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(40)'!$C$2:$L$248,3,0)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(40)'!$C$2:$L$248,5,1)</f>
        <v>5.3701239999999997</v>
      </c>
      <c r="G20" s="3">
        <f>VLOOKUP($A20,'Summary Data (40)'!$C$2:$L$248,6,1)</f>
        <v>1.7262850000000001</v>
      </c>
      <c r="H20" s="3">
        <f>VLOOKUP($A20,'Summary Data (40)'!$C$2:$L$248,7,1)</f>
        <v>-4.2247079999999997</v>
      </c>
      <c r="I20" s="3" t="str">
        <f>VLOOKUP($A20,'Summary Data (40)'!$C$2:$L$248,4,0)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1.8579575852639905</v>
      </c>
      <c r="N20" s="3">
        <f t="shared" si="1"/>
        <v>8.7721825492086065</v>
      </c>
      <c r="O20" s="3">
        <f t="shared" si="2"/>
        <v>7.8871175977032326</v>
      </c>
      <c r="P20" s="3">
        <f t="shared" si="3"/>
        <v>0.8850649515053739</v>
      </c>
      <c r="Q20" s="5">
        <f t="shared" si="4"/>
        <v>0.11221652784321476</v>
      </c>
      <c r="R20" s="3">
        <f t="shared" si="5"/>
        <v>-63.65586590726528</v>
      </c>
      <c r="S20" s="3">
        <f t="shared" si="6"/>
        <v>-52.385000908649559</v>
      </c>
      <c r="T20" s="3">
        <f t="shared" si="7"/>
        <v>11.270864998615721</v>
      </c>
      <c r="U20" s="3">
        <f>VLOOKUP($A20,'Summary Data (40)'!$C$2:$N$248,11,0)</f>
        <v>0</v>
      </c>
      <c r="V20" s="3">
        <f>VLOOKUP($A20,'Summary Data (40)'!$C$2:$N$248,12,1)</f>
        <v>0</v>
      </c>
      <c r="W20" s="3">
        <f>VLOOKUP($A20,'Summary Data (40)'!$C$2:$N$248,11,1)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(40)'!$C$2:$L$248,3,0)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(40)'!$C$2:$L$248,5,1)</f>
        <v>0.85786819999999997</v>
      </c>
      <c r="G21" s="3">
        <f>VLOOKUP($A21,'Summary Data (40)'!$C$2:$L$248,6,1)</f>
        <v>1.7130320000000001</v>
      </c>
      <c r="H21" s="3">
        <f>VLOOKUP($A21,'Summary Data (40)'!$C$2:$L$248,7,1)</f>
        <v>3.255493</v>
      </c>
      <c r="I21" s="3" t="str">
        <f>VLOOKUP($A21,'Summary Data (40)'!$C$2:$L$248,4,0)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4.9797052005535667</v>
      </c>
      <c r="N21" s="3">
        <f t="shared" si="1"/>
        <v>2.8974385381609462</v>
      </c>
      <c r="O21" s="3">
        <f t="shared" si="2"/>
        <v>2.5489458605470614</v>
      </c>
      <c r="P21" s="3">
        <f t="shared" si="3"/>
        <v>0.3484926776138848</v>
      </c>
      <c r="Q21" s="5">
        <f t="shared" si="4"/>
        <v>0.13672031368257087</v>
      </c>
      <c r="R21" s="3">
        <f t="shared" si="5"/>
        <v>-77.654050540796021</v>
      </c>
      <c r="S21" s="3">
        <f t="shared" si="6"/>
        <v>150.23323093082669</v>
      </c>
      <c r="T21" s="3">
        <f t="shared" si="7"/>
        <v>132.11271852837729</v>
      </c>
      <c r="U21" s="3">
        <f>VLOOKUP($A21,'Summary Data (40)'!$C$2:$N$248,11,0)</f>
        <v>0</v>
      </c>
      <c r="V21" s="3">
        <f>VLOOKUP($A21,'Summary Data (40)'!$C$2:$N$248,12,1)</f>
        <v>0</v>
      </c>
      <c r="W21" s="3">
        <f>VLOOKUP($A21,'Summary Data (40)'!$C$2:$N$248,11,1)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(40)'!$C$2:$L$248,3,0)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(40)'!$C$2:$L$248,5,1)</f>
        <v>-0.50849960000000005</v>
      </c>
      <c r="G22" s="3">
        <f>VLOOKUP($A22,'Summary Data (40)'!$C$2:$L$248,6,1)</f>
        <v>1.710952</v>
      </c>
      <c r="H22" s="3">
        <f>VLOOKUP($A22,'Summary Data (40)'!$C$2:$L$248,7,1)</f>
        <v>-2.2367590000000002</v>
      </c>
      <c r="I22" s="3" t="str">
        <f>VLOOKUP($A22,'Summary Data (40)'!$C$2:$L$248,4,0)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3.5704928993181264</v>
      </c>
      <c r="N22" s="3">
        <f t="shared" si="1"/>
        <v>4.2877281368203795</v>
      </c>
      <c r="O22" s="3">
        <f t="shared" si="2"/>
        <v>1.5015515309172709</v>
      </c>
      <c r="P22" s="3">
        <f t="shared" si="3"/>
        <v>2.7861766059031083</v>
      </c>
      <c r="Q22" s="5">
        <f t="shared" si="4"/>
        <v>1.8555317939711886</v>
      </c>
      <c r="R22" s="3">
        <f t="shared" si="5"/>
        <v>-85.071579131103505</v>
      </c>
      <c r="S22" s="3">
        <f t="shared" si="6"/>
        <v>-32.864589784287261</v>
      </c>
      <c r="T22" s="3">
        <f t="shared" si="7"/>
        <v>52.206989346816243</v>
      </c>
      <c r="U22" s="3">
        <f>VLOOKUP($A22,'Summary Data (40)'!$C$2:$N$248,11,0)</f>
        <v>0</v>
      </c>
      <c r="V22" s="3">
        <f>VLOOKUP($A22,'Summary Data (40)'!$C$2:$N$248,12,1)</f>
        <v>0</v>
      </c>
      <c r="W22" s="3">
        <f>VLOOKUP($A22,'Summary Data (40)'!$C$2:$N$248,11,1)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(40)'!$C$2:$L$248,3,0)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(40)'!$C$2:$L$248,5,1)</f>
        <v>-2.4214570000000002</v>
      </c>
      <c r="G23" s="3">
        <f>VLOOKUP($A23,'Summary Data (40)'!$C$2:$L$248,6,1)</f>
        <v>1.7186490000000001</v>
      </c>
      <c r="H23" s="3">
        <f>VLOOKUP($A23,'Summary Data (40)'!$C$2:$L$248,7,1)</f>
        <v>-4.5394899999999999E-4</v>
      </c>
      <c r="I23" s="3" t="str">
        <f>VLOOKUP($A23,'Summary Data (40)'!$C$2:$L$248,4,0)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4.4062941904567268</v>
      </c>
      <c r="N23" s="3">
        <f t="shared" si="1"/>
        <v>7.3566152491486667</v>
      </c>
      <c r="O23" s="3">
        <f t="shared" si="2"/>
        <v>4.3718971854333439</v>
      </c>
      <c r="P23" s="3">
        <f t="shared" si="3"/>
        <v>2.9847180637153228</v>
      </c>
      <c r="Q23" s="5">
        <f t="shared" si="4"/>
        <v>0.6827054564915338</v>
      </c>
      <c r="R23" s="3">
        <f t="shared" si="5"/>
        <v>177.02371934116897</v>
      </c>
      <c r="S23" s="3">
        <f t="shared" si="6"/>
        <v>143.81266755716021</v>
      </c>
      <c r="T23" s="3">
        <f t="shared" si="7"/>
        <v>33.21105178400876</v>
      </c>
      <c r="U23" s="3">
        <f>VLOOKUP($A23,'Summary Data (40)'!$C$2:$N$248,11,0)</f>
        <v>0</v>
      </c>
      <c r="V23" s="3">
        <f>VLOOKUP($A23,'Summary Data (40)'!$C$2:$N$248,12,1)</f>
        <v>0</v>
      </c>
      <c r="W23" s="3">
        <f>VLOOKUP($A23,'Summary Data (40)'!$C$2:$N$248,11,1)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(40)'!$C$2:$L$248,3,0)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(40)'!$C$2:$L$248,5,1)</f>
        <v>-5.6339139999999999</v>
      </c>
      <c r="G24" s="3">
        <f>VLOOKUP($A24,'Summary Data (40)'!$C$2:$L$248,6,1)</f>
        <v>1.7264299999999999</v>
      </c>
      <c r="H24" s="3">
        <f>VLOOKUP($A24,'Summary Data (40)'!$C$2:$L$248,7,1)</f>
        <v>-0.62799070000000001</v>
      </c>
      <c r="I24" s="3" t="str">
        <f>VLOOKUP($A24,'Summary Data (40)'!$C$2:$L$248,4,0)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5.0151264054540521</v>
      </c>
      <c r="N24" s="3">
        <f t="shared" si="1"/>
        <v>5.9210657026317906</v>
      </c>
      <c r="O24" s="3">
        <f t="shared" si="2"/>
        <v>8.8659173242253964</v>
      </c>
      <c r="P24" s="3">
        <f t="shared" si="3"/>
        <v>-2.9448516215936058</v>
      </c>
      <c r="Q24" s="5">
        <f t="shared" si="4"/>
        <v>-0.33215419385279388</v>
      </c>
      <c r="R24" s="3">
        <f t="shared" si="5"/>
        <v>111.35858600069317</v>
      </c>
      <c r="S24" s="3">
        <f t="shared" si="6"/>
        <v>143.89594050664363</v>
      </c>
      <c r="T24" s="3">
        <f t="shared" si="7"/>
        <v>32.537354505950461</v>
      </c>
      <c r="U24" s="3">
        <f>VLOOKUP($A24,'Summary Data (40)'!$C$2:$N$248,11,0)</f>
        <v>0</v>
      </c>
      <c r="V24" s="3">
        <f>VLOOKUP($A24,'Summary Data (40)'!$C$2:$N$248,12,1)</f>
        <v>0</v>
      </c>
      <c r="W24" s="3">
        <f>VLOOKUP($A24,'Summary Data (40)'!$C$2:$N$248,11,1)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(40)'!$C$2:$L$248,3,0)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(40)'!$C$2:$L$248,5,1)</f>
        <v>-2.9431229999999999</v>
      </c>
      <c r="G25" s="3">
        <f>VLOOKUP($A25,'Summary Data (40)'!$C$2:$L$248,6,1)</f>
        <v>1.713632</v>
      </c>
      <c r="H25" s="3">
        <f>VLOOKUP($A25,'Summary Data (40)'!$C$2:$L$248,7,1)</f>
        <v>0.89209950000000005</v>
      </c>
      <c r="I25" s="3" t="str">
        <f>VLOOKUP($A25,'Summary Data (40)'!$C$2:$L$248,4,0)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1.4159680579127663</v>
      </c>
      <c r="N25" s="3">
        <f t="shared" si="1"/>
        <v>7.0373677796481013</v>
      </c>
      <c r="O25" s="3">
        <f t="shared" si="2"/>
        <v>8.0641771433916301</v>
      </c>
      <c r="P25" s="3">
        <f t="shared" si="3"/>
        <v>-1.0268093637435287</v>
      </c>
      <c r="Q25" s="5">
        <f t="shared" si="4"/>
        <v>-0.12732971330930776</v>
      </c>
      <c r="R25" s="3">
        <f t="shared" si="5"/>
        <v>174.57078263739461</v>
      </c>
      <c r="S25" s="3">
        <f t="shared" si="6"/>
        <v>167.15005688511673</v>
      </c>
      <c r="T25" s="3">
        <f t="shared" si="7"/>
        <v>7.4207257522778889</v>
      </c>
      <c r="U25" s="3">
        <f>VLOOKUP($A25,'Summary Data (40)'!$C$2:$N$248,11,0)</f>
        <v>0</v>
      </c>
      <c r="V25" s="3">
        <f>VLOOKUP($A25,'Summary Data (40)'!$C$2:$N$248,12,1)</f>
        <v>0</v>
      </c>
      <c r="W25" s="3">
        <f>VLOOKUP($A25,'Summary Data (40)'!$C$2:$N$248,11,1)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(40)'!$C$2:$L$248,3,0)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(40)'!$C$2:$L$248,5,1)</f>
        <v>-2.2432720000000002</v>
      </c>
      <c r="G26" s="3">
        <f>VLOOKUP($A26,'Summary Data (40)'!$C$2:$L$248,6,1)</f>
        <v>1.7263139999999999</v>
      </c>
      <c r="H26" s="3">
        <f>VLOOKUP($A26,'Summary Data (40)'!$C$2:$L$248,7,1)</f>
        <v>4.3236460000000001</v>
      </c>
      <c r="I26" s="3" t="str">
        <f>VLOOKUP($A26,'Summary Data (40)'!$C$2:$L$248,4,0)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2.7682444428373736</v>
      </c>
      <c r="N26" s="3">
        <f t="shared" si="1"/>
        <v>1.8448910925309381</v>
      </c>
      <c r="O26" s="3">
        <f t="shared" si="2"/>
        <v>4.3329067610554466</v>
      </c>
      <c r="P26" s="3">
        <f t="shared" si="3"/>
        <v>-2.4880156685245085</v>
      </c>
      <c r="Q26" s="5">
        <f t="shared" si="4"/>
        <v>-0.57421398745226082</v>
      </c>
      <c r="R26" s="3">
        <f t="shared" si="5"/>
        <v>-19.074748100261683</v>
      </c>
      <c r="S26" s="3">
        <f t="shared" si="6"/>
        <v>5.7128551879809422</v>
      </c>
      <c r="T26" s="3">
        <f t="shared" si="7"/>
        <v>24.787603288242625</v>
      </c>
      <c r="U26" s="3">
        <f>VLOOKUP($A26,'Summary Data (40)'!$C$2:$N$248,11,0)</f>
        <v>0</v>
      </c>
      <c r="V26" s="3">
        <f>VLOOKUP($A26,'Summary Data (40)'!$C$2:$N$248,12,1)</f>
        <v>0</v>
      </c>
      <c r="W26" s="3">
        <f>VLOOKUP($A26,'Summary Data (40)'!$C$2:$N$248,11,1)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(40)'!$C$2:$L$248,3,0)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(40)'!$C$2:$L$248,5,1)</f>
        <v>-3.6335829999999998</v>
      </c>
      <c r="G27" s="3">
        <f>VLOOKUP($A27,'Summary Data (40)'!$C$2:$L$248,6,1)</f>
        <v>1.732521</v>
      </c>
      <c r="H27" s="3">
        <f>VLOOKUP($A27,'Summary Data (40)'!$C$2:$L$248,7,1)</f>
        <v>0.256635</v>
      </c>
      <c r="I27" s="3" t="str">
        <f>VLOOKUP($A27,'Summary Data (40)'!$C$2:$L$248,4,0)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3.9088259141478781</v>
      </c>
      <c r="N27" s="3">
        <f t="shared" si="1"/>
        <v>5.1843049130152439</v>
      </c>
      <c r="O27" s="3">
        <f t="shared" si="2"/>
        <v>8.8659173242253964</v>
      </c>
      <c r="P27" s="3">
        <f t="shared" si="3"/>
        <v>-3.6816124112101525</v>
      </c>
      <c r="Q27" s="5">
        <f t="shared" si="4"/>
        <v>-0.41525453899174614</v>
      </c>
      <c r="R27" s="3">
        <f t="shared" si="5"/>
        <v>111.35858600069317</v>
      </c>
      <c r="S27" s="3">
        <f t="shared" si="6"/>
        <v>122.47455569688238</v>
      </c>
      <c r="T27" s="3">
        <f t="shared" si="7"/>
        <v>11.115969696189211</v>
      </c>
      <c r="U27" s="3">
        <f>VLOOKUP($A27,'Summary Data (40)'!$C$2:$N$248,11,0)</f>
        <v>0</v>
      </c>
      <c r="V27" s="3">
        <f>VLOOKUP($A27,'Summary Data (40)'!$C$2:$N$248,12,1)</f>
        <v>0</v>
      </c>
      <c r="W27" s="3">
        <f>VLOOKUP($A27,'Summary Data (40)'!$C$2:$N$248,11,1)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(40)'!$C$2:$L$248,3,0)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(40)'!$C$2:$L$248,5,1)</f>
        <v>1.12677</v>
      </c>
      <c r="G28" s="3">
        <f>VLOOKUP($A28,'Summary Data (40)'!$C$2:$L$248,6,1)</f>
        <v>1.7169479999999999</v>
      </c>
      <c r="H28" s="3">
        <f>VLOOKUP($A28,'Summary Data (40)'!$C$2:$L$248,7,1)</f>
        <v>-4.3669089999999997</v>
      </c>
      <c r="I28" s="3" t="str">
        <f>VLOOKUP($A28,'Summary Data (40)'!$C$2:$L$248,4,0)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4.6298950974272621</v>
      </c>
      <c r="N28" s="3">
        <f t="shared" si="1"/>
        <v>6.5792309378210003</v>
      </c>
      <c r="O28" s="3">
        <f t="shared" si="2"/>
        <v>2.5489458605470614</v>
      </c>
      <c r="P28" s="3">
        <f t="shared" si="3"/>
        <v>4.0302850772739394</v>
      </c>
      <c r="Q28" s="5">
        <f t="shared" si="4"/>
        <v>1.5811575834760763</v>
      </c>
      <c r="R28" s="3">
        <f t="shared" si="5"/>
        <v>-77.654050540796021</v>
      </c>
      <c r="S28" s="3">
        <f t="shared" si="6"/>
        <v>-109.96293899425464</v>
      </c>
      <c r="T28" s="3">
        <f t="shared" si="7"/>
        <v>32.308888453458621</v>
      </c>
      <c r="U28" s="3">
        <f>VLOOKUP($A28,'Summary Data (40)'!$C$2:$N$248,11,0)</f>
        <v>0</v>
      </c>
      <c r="V28" s="3">
        <f>VLOOKUP($A28,'Summary Data (40)'!$C$2:$N$248,12,1)</f>
        <v>0</v>
      </c>
      <c r="W28" s="3">
        <f>VLOOKUP($A28,'Summary Data (40)'!$C$2:$N$248,11,1)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(40)'!$C$2:$L$248,3,0)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(40)'!$C$2:$L$248,5,1)</f>
        <v>-2.6681349999999999</v>
      </c>
      <c r="G29" s="3">
        <f>VLOOKUP($A29,'Summary Data (40)'!$C$2:$L$248,6,1)</f>
        <v>1.717346</v>
      </c>
      <c r="H29" s="3">
        <f>VLOOKUP($A29,'Summary Data (40)'!$C$2:$L$248,7,1)</f>
        <v>6.3342869999999998</v>
      </c>
      <c r="I29" s="3" t="str">
        <f>VLOOKUP($A29,'Summary Data (40)'!$C$2:$L$248,4,0)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4.4987501509412589</v>
      </c>
      <c r="N29" s="3">
        <f t="shared" si="1"/>
        <v>2.6087229608745348</v>
      </c>
      <c r="O29" s="3">
        <f t="shared" si="2"/>
        <v>4.3329067610554466</v>
      </c>
      <c r="P29" s="3">
        <f t="shared" si="3"/>
        <v>-1.7241838001809118</v>
      </c>
      <c r="Q29" s="5">
        <f t="shared" si="4"/>
        <v>-0.39792774118243901</v>
      </c>
      <c r="R29" s="3">
        <f t="shared" si="5"/>
        <v>-19.074748100261683</v>
      </c>
      <c r="S29" s="3">
        <f t="shared" si="6"/>
        <v>57.260119364936777</v>
      </c>
      <c r="T29" s="3">
        <f t="shared" si="7"/>
        <v>76.334867465198457</v>
      </c>
      <c r="U29" s="3">
        <f>VLOOKUP($A29,'Summary Data (40)'!$C$2:$N$248,11,0)</f>
        <v>0</v>
      </c>
      <c r="V29" s="3">
        <f>VLOOKUP($A29,'Summary Data (40)'!$C$2:$N$248,12,1)</f>
        <v>0</v>
      </c>
      <c r="W29" s="3">
        <f>VLOOKUP($A29,'Summary Data (40)'!$C$2:$N$248,11,1)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(40)'!$C$2:$L$248,3,0)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(40)'!$C$2:$L$248,5,1)</f>
        <v>-2.5645180000000001</v>
      </c>
      <c r="G30" s="3">
        <f>VLOOKUP($A30,'Summary Data (40)'!$C$2:$L$248,6,1)</f>
        <v>1.7194100000000001</v>
      </c>
      <c r="H30" s="3">
        <f>VLOOKUP($A30,'Summary Data (40)'!$C$2:$L$248,7,1)</f>
        <v>0.15561059999999999</v>
      </c>
      <c r="I30" s="3" t="str">
        <f>VLOOKUP($A30,'Summary Data (40)'!$C$2:$L$248,4,0)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4.6037781562056574</v>
      </c>
      <c r="N30" s="3">
        <f t="shared" si="1"/>
        <v>7.5643370297704449</v>
      </c>
      <c r="O30" s="3">
        <f t="shared" si="2"/>
        <v>4.3718971854333439</v>
      </c>
      <c r="P30" s="3">
        <f t="shared" si="3"/>
        <v>3.1924398443371009</v>
      </c>
      <c r="Q30" s="5">
        <f t="shared" si="4"/>
        <v>0.73021841752682137</v>
      </c>
      <c r="R30" s="3">
        <f t="shared" si="5"/>
        <v>177.02371934116897</v>
      </c>
      <c r="S30" s="3">
        <f t="shared" si="6"/>
        <v>143.49839278058948</v>
      </c>
      <c r="T30" s="3">
        <f t="shared" si="7"/>
        <v>33.525326560579487</v>
      </c>
      <c r="U30" s="3">
        <f>VLOOKUP($A30,'Summary Data (40)'!$C$2:$N$248,11,0)</f>
        <v>0</v>
      </c>
      <c r="V30" s="3">
        <f>VLOOKUP($A30,'Summary Data (40)'!$C$2:$N$248,12,1)</f>
        <v>0</v>
      </c>
      <c r="W30" s="3">
        <f>VLOOKUP($A30,'Summary Data (40)'!$C$2:$N$248,11,1)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(40)'!$C$2:$L$248,3,0)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(40)'!$C$2:$L$248,5,1)</f>
        <v>-1.256515</v>
      </c>
      <c r="G31" s="3">
        <f>VLOOKUP($A31,'Summary Data (40)'!$C$2:$L$248,6,1)</f>
        <v>1.714553</v>
      </c>
      <c r="H31" s="3">
        <f>VLOOKUP($A31,'Summary Data (40)'!$C$2:$L$248,7,1)</f>
        <v>-2.1648040000000002</v>
      </c>
      <c r="I31" s="3" t="str">
        <f>VLOOKUP($A31,'Summary Data (40)'!$C$2:$L$248,4,0)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2.8281799846616904</v>
      </c>
      <c r="N31" s="3">
        <f t="shared" si="1"/>
        <v>3.6368279755359616</v>
      </c>
      <c r="O31" s="3">
        <f t="shared" si="2"/>
        <v>1.5015515309172709</v>
      </c>
      <c r="P31" s="3">
        <f t="shared" si="3"/>
        <v>2.1352764446186905</v>
      </c>
      <c r="Q31" s="5">
        <f t="shared" si="4"/>
        <v>1.4220467301007569</v>
      </c>
      <c r="R31" s="3">
        <f t="shared" si="5"/>
        <v>-85.071579131103505</v>
      </c>
      <c r="S31" s="3">
        <f t="shared" si="6"/>
        <v>-38.315545249656282</v>
      </c>
      <c r="T31" s="3">
        <f t="shared" si="7"/>
        <v>46.756033881447223</v>
      </c>
      <c r="U31" s="3">
        <f>VLOOKUP($A31,'Summary Data (40)'!$C$2:$N$248,11,0)</f>
        <v>0</v>
      </c>
      <c r="V31" s="3">
        <f>VLOOKUP($A31,'Summary Data (40)'!$C$2:$N$248,12,1)</f>
        <v>0</v>
      </c>
      <c r="W31" s="3">
        <f>VLOOKUP($A31,'Summary Data (40)'!$C$2:$N$248,11,1)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(40)'!$C$2:$L$248,3,0)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(40)'!$C$2:$L$248,5,1)</f>
        <v>-4.2996359999999996</v>
      </c>
      <c r="G32" s="3">
        <f>VLOOKUP($A32,'Summary Data (40)'!$C$2:$L$248,6,1)</f>
        <v>1.724062</v>
      </c>
      <c r="H32" s="3">
        <f>VLOOKUP($A32,'Summary Data (40)'!$C$2:$L$248,7,1)</f>
        <v>-1.4039269999999999</v>
      </c>
      <c r="I32" s="3" t="str">
        <f>VLOOKUP($A32,'Summary Data (40)'!$C$2:$L$248,4,0)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1.5059149025841398</v>
      </c>
      <c r="N32" s="3">
        <f t="shared" si="1"/>
        <v>8.2500785273732387</v>
      </c>
      <c r="O32" s="3">
        <f t="shared" si="2"/>
        <v>8.0641771433916301</v>
      </c>
      <c r="P32" s="3">
        <f t="shared" si="3"/>
        <v>0.1859013839816086</v>
      </c>
      <c r="Q32" s="5">
        <f t="shared" si="4"/>
        <v>2.3052740617677234E-2</v>
      </c>
      <c r="R32" s="3">
        <f t="shared" si="5"/>
        <v>174.57078263739461</v>
      </c>
      <c r="S32" s="3">
        <f t="shared" si="6"/>
        <v>-174.91713763890473</v>
      </c>
      <c r="T32" s="3">
        <f t="shared" si="7"/>
        <v>10.512079723700651</v>
      </c>
      <c r="U32" s="3">
        <f>VLOOKUP($A32,'Summary Data (40)'!$C$2:$N$248,11,0)</f>
        <v>0</v>
      </c>
      <c r="V32" s="3">
        <f>VLOOKUP($A32,'Summary Data (40)'!$C$2:$N$248,12,1)</f>
        <v>0</v>
      </c>
      <c r="W32" s="3">
        <f>VLOOKUP($A32,'Summary Data (40)'!$C$2:$N$248,11,1)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(40)'!$C$2:$L$248,3,0)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(40)'!$C$2:$L$248,5,1)</f>
        <v>5.3127149999999999</v>
      </c>
      <c r="G33" s="3">
        <f>VLOOKUP($A33,'Summary Data (40)'!$C$2:$L$248,6,1)</f>
        <v>1.72637</v>
      </c>
      <c r="H33" s="3">
        <f>VLOOKUP($A33,'Summary Data (40)'!$C$2:$L$248,7,1)</f>
        <v>-4.178083</v>
      </c>
      <c r="I33" s="3" t="str">
        <f>VLOOKUP($A33,'Summary Data (40)'!$C$2:$L$248,4,0)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1.8043595102179608</v>
      </c>
      <c r="N33" s="3">
        <f t="shared" si="1"/>
        <v>8.7002264068306854</v>
      </c>
      <c r="O33" s="3">
        <f t="shared" si="2"/>
        <v>7.8871175977032326</v>
      </c>
      <c r="P33" s="3">
        <f t="shared" si="3"/>
        <v>0.81310880912745276</v>
      </c>
      <c r="Q33" s="5">
        <f t="shared" si="4"/>
        <v>0.10309327825468635</v>
      </c>
      <c r="R33" s="3">
        <f t="shared" si="5"/>
        <v>-63.65586590726528</v>
      </c>
      <c r="S33" s="3">
        <f t="shared" si="6"/>
        <v>-52.497071882503064</v>
      </c>
      <c r="T33" s="3">
        <f t="shared" si="7"/>
        <v>11.158794024762216</v>
      </c>
      <c r="U33" s="3">
        <f>VLOOKUP($A33,'Summary Data (40)'!$C$2:$N$248,11,0)</f>
        <v>0</v>
      </c>
      <c r="V33" s="3">
        <f>VLOOKUP($A33,'Summary Data (40)'!$C$2:$N$248,12,1)</f>
        <v>0</v>
      </c>
      <c r="W33" s="3">
        <f>VLOOKUP($A33,'Summary Data (40)'!$C$2:$N$248,11,1)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(40)'!$C$2:$L$248,3,0)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(40)'!$C$2:$L$248,5,1)</f>
        <v>3.8645420000000001</v>
      </c>
      <c r="G34" s="3">
        <f>VLOOKUP($A34,'Summary Data (40)'!$C$2:$L$248,6,1)</f>
        <v>1.7242930000000001</v>
      </c>
      <c r="H34" s="3">
        <f>VLOOKUP($A34,'Summary Data (40)'!$C$2:$L$248,7,1)</f>
        <v>0.29910330000000002</v>
      </c>
      <c r="I34" s="3" t="str">
        <f>VLOOKUP($A34,'Summary Data (40)'!$C$2:$L$248,4,0)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1.5955011531286618</v>
      </c>
      <c r="N34" s="3">
        <f t="shared" si="1"/>
        <v>8.0286927041352687</v>
      </c>
      <c r="O34" s="3">
        <f t="shared" si="2"/>
        <v>8.0292617967033557</v>
      </c>
      <c r="P34" s="3">
        <f t="shared" si="3"/>
        <v>-5.6909256808701514E-4</v>
      </c>
      <c r="Q34" s="5">
        <f t="shared" si="4"/>
        <v>-7.0877321290068341E-5</v>
      </c>
      <c r="R34" s="3">
        <f t="shared" si="5"/>
        <v>23.666151625811782</v>
      </c>
      <c r="S34" s="3">
        <f t="shared" si="6"/>
        <v>12.261640474097904</v>
      </c>
      <c r="T34" s="3">
        <f t="shared" si="7"/>
        <v>11.404511151713878</v>
      </c>
      <c r="U34" s="3">
        <f>VLOOKUP($A34,'Summary Data (40)'!$C$2:$N$248,11,0)</f>
        <v>0</v>
      </c>
      <c r="V34" s="3">
        <f>VLOOKUP($A34,'Summary Data (40)'!$C$2:$N$248,12,1)</f>
        <v>0</v>
      </c>
      <c r="W34" s="3">
        <f>VLOOKUP($A34,'Summary Data (40)'!$C$2:$N$248,11,1)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(40)'!$C$2:$L$248,3,0)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(40)'!$C$2:$L$248,5,1)</f>
        <v>-5.4288179999999997</v>
      </c>
      <c r="G35" s="3">
        <f>VLOOKUP($A35,'Summary Data (40)'!$C$2:$L$248,6,1)</f>
        <v>1.7230890000000001</v>
      </c>
      <c r="H35" s="3">
        <f>VLOOKUP($A35,'Summary Data (40)'!$C$2:$L$248,7,1)</f>
        <v>-1.1833419999999999</v>
      </c>
      <c r="I35" s="3" t="str">
        <f>VLOOKUP($A35,'Summary Data (40)'!$C$2:$L$248,4,0)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1.8332159627517972</v>
      </c>
      <c r="N35" s="3">
        <f t="shared" si="1"/>
        <v>9.3607401246956954</v>
      </c>
      <c r="O35" s="3">
        <f t="shared" si="2"/>
        <v>8.0641771433916301</v>
      </c>
      <c r="P35" s="3">
        <f t="shared" si="3"/>
        <v>1.2965629813040653</v>
      </c>
      <c r="Q35" s="5">
        <f t="shared" si="4"/>
        <v>0.16078056796737938</v>
      </c>
      <c r="R35" s="3">
        <f t="shared" si="5"/>
        <v>174.57078263739461</v>
      </c>
      <c r="S35" s="3">
        <f t="shared" si="6"/>
        <v>-176.87471852902905</v>
      </c>
      <c r="T35" s="3">
        <f t="shared" si="7"/>
        <v>8.5544988335763037</v>
      </c>
      <c r="U35" s="3">
        <f>VLOOKUP($A35,'Summary Data (40)'!$C$2:$N$248,11,0)</f>
        <v>0</v>
      </c>
      <c r="V35" s="3">
        <f>VLOOKUP($A35,'Summary Data (40)'!$C$2:$N$248,12,1)</f>
        <v>0</v>
      </c>
      <c r="W35" s="3">
        <f>VLOOKUP($A35,'Summary Data (40)'!$C$2:$N$248,11,1)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(40)'!$C$2:$L$248,3,0)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(40)'!$C$2:$L$248,5,1)</f>
        <v>-1.143114</v>
      </c>
      <c r="G36" s="3">
        <f>VLOOKUP($A36,'Summary Data (40)'!$C$2:$L$248,6,1)</f>
        <v>1.7278720000000001</v>
      </c>
      <c r="H36" s="3">
        <f>VLOOKUP($A36,'Summary Data (40)'!$C$2:$L$248,7,1)</f>
        <v>2.089585</v>
      </c>
      <c r="I36" s="3" t="str">
        <f>VLOOKUP($A36,'Summary Data (40)'!$C$2:$L$248,4,0)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5.7659995493601102</v>
      </c>
      <c r="N36" s="3">
        <f t="shared" si="1"/>
        <v>4.5243329058791639</v>
      </c>
      <c r="O36" s="3">
        <f t="shared" si="2"/>
        <v>2.5489458605470614</v>
      </c>
      <c r="P36" s="3">
        <f t="shared" si="3"/>
        <v>1.9753870453321025</v>
      </c>
      <c r="Q36" s="5">
        <f t="shared" si="4"/>
        <v>0.77498195466110831</v>
      </c>
      <c r="R36" s="3">
        <f t="shared" si="5"/>
        <v>-77.654050540796021</v>
      </c>
      <c r="S36" s="3">
        <f t="shared" si="6"/>
        <v>176.54591417881556</v>
      </c>
      <c r="T36" s="3">
        <f t="shared" si="7"/>
        <v>105.80003528038841</v>
      </c>
      <c r="U36" s="3">
        <f>VLOOKUP($A36,'Summary Data (40)'!$C$2:$N$248,11,0)</f>
        <v>0</v>
      </c>
      <c r="V36" s="3">
        <f>VLOOKUP($A36,'Summary Data (40)'!$C$2:$N$248,12,1)</f>
        <v>0</v>
      </c>
      <c r="W36" s="3">
        <f>VLOOKUP($A36,'Summary Data (40)'!$C$2:$N$248,11,1)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(40)'!$C$2:$L$248,3,0)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(40)'!$C$2:$L$248,5,1)</f>
        <v>-0.66926660000000004</v>
      </c>
      <c r="G37" s="3">
        <f>VLOOKUP($A37,'Summary Data (40)'!$C$2:$L$248,6,1)</f>
        <v>1.726623</v>
      </c>
      <c r="H37" s="3">
        <f>VLOOKUP($A37,'Summary Data (40)'!$C$2:$L$248,7,1)</f>
        <v>3.195935</v>
      </c>
      <c r="I37" s="3" t="str">
        <f>VLOOKUP($A37,'Summary Data (40)'!$C$2:$L$248,4,0)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0.83205345819878651</v>
      </c>
      <c r="N37" s="3">
        <f t="shared" si="1"/>
        <v>3.5380136493943257</v>
      </c>
      <c r="O37" s="3">
        <f t="shared" si="2"/>
        <v>4.3329067610554466</v>
      </c>
      <c r="P37" s="3">
        <f t="shared" si="3"/>
        <v>-0.79489311166112087</v>
      </c>
      <c r="Q37" s="5">
        <f t="shared" si="4"/>
        <v>-0.1834549311805394</v>
      </c>
      <c r="R37" s="3">
        <f t="shared" si="5"/>
        <v>-19.074748100261683</v>
      </c>
      <c r="S37" s="3">
        <f t="shared" si="6"/>
        <v>-15.476002700910351</v>
      </c>
      <c r="T37" s="3">
        <f t="shared" si="7"/>
        <v>3.5987453993513316</v>
      </c>
      <c r="U37" s="3">
        <f>VLOOKUP($A37,'Summary Data (40)'!$C$2:$N$248,11,0)</f>
        <v>0</v>
      </c>
      <c r="V37" s="3">
        <f>VLOOKUP($A37,'Summary Data (40)'!$C$2:$N$248,12,1)</f>
        <v>0</v>
      </c>
      <c r="W37" s="3">
        <f>VLOOKUP($A37,'Summary Data (40)'!$C$2:$N$248,11,1)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(40)'!$C$2:$L$248,3,0)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(40)'!$C$2:$L$248,5,1)</f>
        <v>5.1758199999999999</v>
      </c>
      <c r="G38" s="3">
        <f>VLOOKUP($A38,'Summary Data (40)'!$C$2:$L$248,6,1)</f>
        <v>1.7274620000000001</v>
      </c>
      <c r="H38" s="3">
        <f>VLOOKUP($A38,'Summary Data (40)'!$C$2:$L$248,7,1)</f>
        <v>2.281307</v>
      </c>
      <c r="I38" s="3" t="str">
        <f>VLOOKUP($A38,'Summary Data (40)'!$C$2:$L$248,4,0)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1.8616500591273859</v>
      </c>
      <c r="N38" s="3">
        <f t="shared" si="1"/>
        <v>9.8713517526552046</v>
      </c>
      <c r="O38" s="3">
        <f t="shared" si="2"/>
        <v>8.0292617967033557</v>
      </c>
      <c r="P38" s="3">
        <f t="shared" si="3"/>
        <v>1.8420899559518489</v>
      </c>
      <c r="Q38" s="5">
        <f t="shared" si="4"/>
        <v>0.22942208170471809</v>
      </c>
      <c r="R38" s="3">
        <f t="shared" si="5"/>
        <v>23.666151625811782</v>
      </c>
      <c r="S38" s="3">
        <f t="shared" si="6"/>
        <v>21.933868527380351</v>
      </c>
      <c r="T38" s="3">
        <f t="shared" si="7"/>
        <v>1.7322830984314308</v>
      </c>
      <c r="U38" s="3">
        <f>VLOOKUP($A38,'Summary Data (40)'!$C$2:$N$248,11,0)</f>
        <v>0</v>
      </c>
      <c r="V38" s="3">
        <f>VLOOKUP($A38,'Summary Data (40)'!$C$2:$N$248,12,1)</f>
        <v>0</v>
      </c>
      <c r="W38" s="3">
        <f>VLOOKUP($A38,'Summary Data (40)'!$C$2:$N$248,11,1)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(40)'!$C$2:$L$248,3,0)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(40)'!$C$2:$L$248,5,1)</f>
        <v>-3.9444849999999998</v>
      </c>
      <c r="G39" s="3">
        <f>VLOOKUP($A39,'Summary Data (40)'!$C$2:$L$248,6,1)</f>
        <v>1.7147319999999999</v>
      </c>
      <c r="H39" s="3">
        <f>VLOOKUP($A39,'Summary Data (40)'!$C$2:$L$248,7,1)</f>
        <v>-1.8068230000000001</v>
      </c>
      <c r="I39" s="3" t="str">
        <f>VLOOKUP($A39,'Summary Data (40)'!$C$2:$L$248,4,0)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1.9040306480080622</v>
      </c>
      <c r="N39" s="3">
        <f t="shared" si="1"/>
        <v>7.9438167759933886</v>
      </c>
      <c r="O39" s="3">
        <f t="shared" si="2"/>
        <v>8.0641771433916301</v>
      </c>
      <c r="P39" s="3">
        <f t="shared" si="3"/>
        <v>-0.12036036739824141</v>
      </c>
      <c r="Q39" s="5">
        <f t="shared" si="4"/>
        <v>-1.4925312931260867E-2</v>
      </c>
      <c r="R39" s="3">
        <f t="shared" si="5"/>
        <v>174.57078263739461</v>
      </c>
      <c r="S39" s="3">
        <f t="shared" si="6"/>
        <v>-171.79413466632786</v>
      </c>
      <c r="T39" s="3">
        <f t="shared" si="7"/>
        <v>13.63508269627755</v>
      </c>
      <c r="U39" s="3">
        <f>VLOOKUP($A39,'Summary Data (40)'!$C$2:$N$248,11,0)</f>
        <v>0</v>
      </c>
      <c r="V39" s="3">
        <f>VLOOKUP($A39,'Summary Data (40)'!$C$2:$N$248,12,1)</f>
        <v>0</v>
      </c>
      <c r="W39" s="3">
        <f>VLOOKUP($A39,'Summary Data (40)'!$C$2:$N$248,11,1)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(40)'!$C$2:$L$248,3,0)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(40)'!$C$2:$L$248,5,1)</f>
        <v>5.2380079999999998</v>
      </c>
      <c r="G40" s="3">
        <f>VLOOKUP($A40,'Summary Data (40)'!$C$2:$L$248,6,1)</f>
        <v>1.7305809999999999</v>
      </c>
      <c r="H40" s="3">
        <f>VLOOKUP($A40,'Summary Data (40)'!$C$2:$L$248,7,1)</f>
        <v>-4.2963969999999998</v>
      </c>
      <c r="I40" s="3" t="str">
        <f>VLOOKUP($A40,'Summary Data (40)'!$C$2:$L$248,4,0)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1.7226658403976667</v>
      </c>
      <c r="N40" s="3">
        <f t="shared" si="1"/>
        <v>8.7495909384195212</v>
      </c>
      <c r="O40" s="3">
        <f t="shared" si="2"/>
        <v>7.8871175977032326</v>
      </c>
      <c r="P40" s="3">
        <f t="shared" si="3"/>
        <v>0.86247334071628856</v>
      </c>
      <c r="Q40" s="5">
        <f t="shared" si="4"/>
        <v>0.10935215939565109</v>
      </c>
      <c r="R40" s="3">
        <f t="shared" si="5"/>
        <v>-63.65586590726528</v>
      </c>
      <c r="S40" s="3">
        <f t="shared" si="6"/>
        <v>-53.356885660030784</v>
      </c>
      <c r="T40" s="3">
        <f t="shared" si="7"/>
        <v>10.298980247234496</v>
      </c>
      <c r="U40" s="3">
        <f>VLOOKUP($A40,'Summary Data (40)'!$C$2:$N$248,11,0)</f>
        <v>0</v>
      </c>
      <c r="V40" s="3">
        <f>VLOOKUP($A40,'Summary Data (40)'!$C$2:$N$248,12,1)</f>
        <v>0</v>
      </c>
      <c r="W40" s="3">
        <f>VLOOKUP($A40,'Summary Data (40)'!$C$2:$N$248,11,1)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(40)'!$C$2:$L$248,3,0)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(40)'!$C$2:$L$248,5,1)</f>
        <v>-3.1105680000000002</v>
      </c>
      <c r="G41" s="3">
        <f>VLOOKUP($A41,'Summary Data (40)'!$C$2:$L$248,6,1)</f>
        <v>1.724467</v>
      </c>
      <c r="H41" s="3">
        <f>VLOOKUP($A41,'Summary Data (40)'!$C$2:$L$248,7,1)</f>
        <v>2.1580279999999998</v>
      </c>
      <c r="I41" s="3" t="str">
        <f>VLOOKUP($A41,'Summary Data (40)'!$C$2:$L$248,4,0)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2.2059178469308414</v>
      </c>
      <c r="N41" s="3">
        <f t="shared" si="1"/>
        <v>6.6697934063513538</v>
      </c>
      <c r="O41" s="3">
        <f t="shared" si="2"/>
        <v>8.8659173242253964</v>
      </c>
      <c r="P41" s="3">
        <f t="shared" si="3"/>
        <v>-2.1961239178740426</v>
      </c>
      <c r="Q41" s="5">
        <f t="shared" si="4"/>
        <v>-0.24770408267549632</v>
      </c>
      <c r="R41" s="3">
        <f t="shared" si="5"/>
        <v>111.35858600069317</v>
      </c>
      <c r="S41" s="3">
        <f t="shared" si="6"/>
        <v>109.81146830667414</v>
      </c>
      <c r="T41" s="3">
        <f t="shared" si="7"/>
        <v>1.5471176940190219</v>
      </c>
      <c r="U41" s="3">
        <f>VLOOKUP($A41,'Summary Data (40)'!$C$2:$N$248,11,0)</f>
        <v>0</v>
      </c>
      <c r="V41" s="3">
        <f>VLOOKUP($A41,'Summary Data (40)'!$C$2:$N$248,12,1)</f>
        <v>0</v>
      </c>
      <c r="W41" s="3">
        <f>VLOOKUP($A41,'Summary Data (40)'!$C$2:$N$248,11,1)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0.27728934109616044</v>
      </c>
      <c r="T42" s="3">
        <f>AVERAGE(T2:T41)</f>
        <v>30.92874689865268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sqref="A1:A1048576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2017-09-13T11:27:22Z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