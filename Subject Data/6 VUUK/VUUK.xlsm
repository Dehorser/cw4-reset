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6 VUUK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C12" i="3"/>
  <c r="D13" i="3"/>
  <c r="C39" i="3"/>
  <c r="J18" i="3"/>
  <c r="D36" i="3"/>
  <c r="L40" i="3"/>
  <c r="D3" i="3"/>
  <c r="L7" i="3"/>
  <c r="L9" i="3"/>
  <c r="M9" i="3" s="1"/>
  <c r="E12" i="3"/>
  <c r="N12" i="3" s="1"/>
  <c r="C22" i="3"/>
  <c r="C28" i="3"/>
  <c r="J29" i="3"/>
  <c r="J5" i="3"/>
  <c r="M5" i="3" s="1"/>
  <c r="E22" i="3"/>
  <c r="L25" i="3"/>
  <c r="E28" i="3"/>
  <c r="N28" i="3" s="1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S13" i="3"/>
  <c r="J13" i="3"/>
  <c r="O13" i="3" s="1"/>
  <c r="P13" i="3" s="1"/>
  <c r="Q13" i="3" s="1"/>
  <c r="J14" i="3"/>
  <c r="E15" i="3"/>
  <c r="L16" i="3"/>
  <c r="L20" i="3"/>
  <c r="J25" i="3"/>
  <c r="C32" i="3"/>
  <c r="E33" i="3"/>
  <c r="J36" i="3"/>
  <c r="R36" i="3" s="1"/>
  <c r="T36" i="3" s="1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L17" i="3"/>
  <c r="M17" i="3" s="1"/>
  <c r="C20" i="3"/>
  <c r="N20" i="3" s="1"/>
  <c r="L21" i="3"/>
  <c r="J23" i="3"/>
  <c r="C24" i="3"/>
  <c r="S24" i="3" s="1"/>
  <c r="C26" i="3"/>
  <c r="D27" i="3"/>
  <c r="K28" i="3"/>
  <c r="C30" i="3"/>
  <c r="N30" i="3" s="1"/>
  <c r="D31" i="3"/>
  <c r="S32" i="3"/>
  <c r="K32" i="3"/>
  <c r="J33" i="3"/>
  <c r="S36" i="3"/>
  <c r="D40" i="3"/>
  <c r="J41" i="3"/>
  <c r="M41" i="3" s="1"/>
  <c r="S4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N36" i="3"/>
  <c r="J38" i="3"/>
  <c r="K39" i="3"/>
  <c r="J39" i="3"/>
  <c r="M40" i="3"/>
  <c r="S34" i="3" l="1"/>
  <c r="O37" i="3"/>
  <c r="O33" i="3"/>
  <c r="M13" i="3"/>
  <c r="S20" i="3"/>
  <c r="M27" i="3"/>
  <c r="S9" i="3"/>
  <c r="M36" i="3"/>
  <c r="O5" i="3"/>
  <c r="M23" i="3"/>
  <c r="O17" i="3"/>
  <c r="N32" i="3"/>
  <c r="R4" i="3"/>
  <c r="T4" i="3" s="1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5" i="3" l="1"/>
  <c r="P27" i="3"/>
  <c r="Q27" i="3" s="1"/>
  <c r="P18" i="3"/>
  <c r="Q18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<sst xmlns="http://schemas.openxmlformats.org/spreadsheetml/2006/main" count="394" uniqueCount="37">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</sst>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42958.634016203701</v>
      </c>
      <c r="B2">
        <v>1248.694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1.8700639999999999</v>
      </c>
      <c r="I2">
        <v>-4.117</v>
      </c>
      <c r="J2">
        <v>16.85511</v>
      </c>
      <c r="K2">
        <v>6.556406</v>
      </c>
      <c r="L2">
        <v>350.11790000000002</v>
      </c>
    </row>
    <row r="3" spans="1:12" x14ac:dyDescent="0.2">
      <c r="A3" s="1">
        <v>42958.634421296294</v>
      </c>
      <c r="B3">
        <v>1284.1420000000001</v>
      </c>
      <c r="C3">
        <v>0</v>
      </c>
      <c r="D3" t="s">
        <v>35</v>
      </c>
      <c r="E3" t="s">
        <v>0</v>
      </c>
      <c r="F3" t="s">
        <v>1</v>
      </c>
      <c r="G3">
        <v>-0.87821850000000001</v>
      </c>
      <c r="H3">
        <v>1.873367</v>
      </c>
      <c r="I3">
        <v>-4.1152579999999999</v>
      </c>
      <c r="J3">
        <v>16.513809999999999</v>
      </c>
      <c r="K3">
        <v>9.5451650000000008</v>
      </c>
      <c r="L3">
        <v>351.30799999999999</v>
      </c>
    </row>
    <row r="4" spans="1:12" x14ac:dyDescent="0.2">
      <c r="A4" s="1">
        <v>42958.63484953704</v>
      </c>
      <c r="B4">
        <v>1321.1</v>
      </c>
      <c r="C4">
        <v>0</v>
      </c>
      <c r="D4" t="s">
        <v>36</v>
      </c>
      <c r="E4" t="s">
        <v>0</v>
      </c>
      <c r="F4" t="s">
        <v>1</v>
      </c>
      <c r="G4">
        <v>-4.4477010000000003</v>
      </c>
      <c r="H4">
        <v>1.9044110000000001</v>
      </c>
      <c r="I4">
        <v>3.2821349999999998</v>
      </c>
      <c r="J4">
        <v>16.134730000000001</v>
      </c>
      <c r="K4">
        <v>319.0804</v>
      </c>
      <c r="L4">
        <v>352.29489999999998</v>
      </c>
    </row>
    <row r="5" spans="1:12" x14ac:dyDescent="0.2">
      <c r="A5" s="1">
        <v>42958.635057870371</v>
      </c>
      <c r="B5">
        <v>1338.66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1.8923490000000001</v>
      </c>
      <c r="I5">
        <v>-4.3440000000000003</v>
      </c>
      <c r="J5">
        <v>17.900860000000002</v>
      </c>
      <c r="K5">
        <v>80.602109999999996</v>
      </c>
      <c r="L5">
        <v>355.00479999999999</v>
      </c>
    </row>
    <row r="6" spans="1:12" x14ac:dyDescent="0.2">
      <c r="A6" s="1">
        <v>42958.635185185187</v>
      </c>
      <c r="B6">
        <v>1349.5920000000001</v>
      </c>
      <c r="C6">
        <v>1</v>
      </c>
      <c r="D6" t="s">
        <v>35</v>
      </c>
      <c r="E6" t="s">
        <v>2</v>
      </c>
      <c r="F6" t="s">
        <v>0</v>
      </c>
      <c r="G6">
        <v>3.7097889999999998</v>
      </c>
      <c r="H6">
        <v>1.8859840000000001</v>
      </c>
      <c r="I6">
        <v>-4.5093529999999999</v>
      </c>
      <c r="J6">
        <v>18.740870000000001</v>
      </c>
      <c r="K6">
        <v>201.7141</v>
      </c>
      <c r="L6">
        <v>351.29410000000001</v>
      </c>
    </row>
    <row r="7" spans="1:12" x14ac:dyDescent="0.2">
      <c r="A7" s="1">
        <v>42958.635312500002</v>
      </c>
      <c r="B7">
        <v>1360.7270000000001</v>
      </c>
      <c r="C7">
        <v>1</v>
      </c>
      <c r="D7" t="s">
        <v>36</v>
      </c>
      <c r="E7" t="s">
        <v>2</v>
      </c>
      <c r="F7" t="s">
        <v>0</v>
      </c>
      <c r="G7">
        <v>0.93834709999999999</v>
      </c>
      <c r="H7">
        <v>1.861102</v>
      </c>
      <c r="I7">
        <v>-2.8368000000000002</v>
      </c>
      <c r="J7">
        <v>11.989520000000001</v>
      </c>
      <c r="K7">
        <v>292.41750000000002</v>
      </c>
      <c r="L7">
        <v>357.55220000000003</v>
      </c>
    </row>
    <row r="8" spans="1:12" x14ac:dyDescent="0.2">
      <c r="A8" s="1">
        <v>42958.635393518518</v>
      </c>
      <c r="B8">
        <v>1368.0329999999999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1.8727959999999999</v>
      </c>
      <c r="I8">
        <v>1.8169999999999999</v>
      </c>
      <c r="J8">
        <v>6.8688159999999998</v>
      </c>
      <c r="K8">
        <v>250.86859999999999</v>
      </c>
      <c r="L8">
        <v>355.27760000000001</v>
      </c>
    </row>
    <row r="9" spans="1:12" x14ac:dyDescent="0.2">
      <c r="A9" s="1">
        <v>42958.63585648148</v>
      </c>
      <c r="B9">
        <v>1408.221</v>
      </c>
      <c r="C9">
        <v>2</v>
      </c>
      <c r="D9" t="s">
        <v>35</v>
      </c>
      <c r="E9" t="s">
        <v>3</v>
      </c>
      <c r="F9" t="s">
        <v>4</v>
      </c>
      <c r="G9">
        <v>3.6123780000000001</v>
      </c>
      <c r="H9">
        <v>1.8782380000000001</v>
      </c>
      <c r="I9">
        <v>2.2825340000000001</v>
      </c>
      <c r="J9">
        <v>18.833770000000001</v>
      </c>
      <c r="K9">
        <v>130.10550000000001</v>
      </c>
      <c r="L9">
        <v>354.3732</v>
      </c>
    </row>
    <row r="10" spans="1:12" x14ac:dyDescent="0.2">
      <c r="A10" s="1">
        <v>42958.636006944442</v>
      </c>
      <c r="B10">
        <v>1421.2950000000001</v>
      </c>
      <c r="C10">
        <v>2</v>
      </c>
      <c r="D10" t="s">
        <v>36</v>
      </c>
      <c r="E10" t="s">
        <v>3</v>
      </c>
      <c r="F10" t="s">
        <v>4</v>
      </c>
      <c r="G10">
        <v>4.5523509999999998</v>
      </c>
      <c r="H10">
        <v>1.896973</v>
      </c>
      <c r="I10">
        <v>-0.78185590000000005</v>
      </c>
      <c r="J10">
        <v>8.5544239999999991</v>
      </c>
      <c r="K10">
        <v>214.84100000000001</v>
      </c>
      <c r="L10">
        <v>353.76650000000001</v>
      </c>
    </row>
    <row r="11" spans="1:12" x14ac:dyDescent="0.2">
      <c r="A11" s="1">
        <v>42958.636041666665</v>
      </c>
      <c r="B11">
        <v>1424.3820000000001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1.8928240000000001</v>
      </c>
      <c r="I11">
        <v>4.1399999999999997</v>
      </c>
      <c r="J11">
        <v>13.7826</v>
      </c>
      <c r="K11">
        <v>207.36449999999999</v>
      </c>
      <c r="L11">
        <v>351.79149999999998</v>
      </c>
    </row>
    <row r="12" spans="1:12" x14ac:dyDescent="0.2">
      <c r="A12" s="1">
        <v>42958.636111111111</v>
      </c>
      <c r="B12">
        <v>1429.8150000000001</v>
      </c>
      <c r="C12">
        <v>3</v>
      </c>
      <c r="D12" t="s">
        <v>35</v>
      </c>
      <c r="E12" t="s">
        <v>1</v>
      </c>
      <c r="F12" t="s">
        <v>5</v>
      </c>
      <c r="G12">
        <v>-3.9096000000000002</v>
      </c>
      <c r="H12">
        <v>1.8752279999999999</v>
      </c>
      <c r="I12">
        <v>4.1036950000000001</v>
      </c>
      <c r="J12">
        <v>16.397680000000001</v>
      </c>
      <c r="K12">
        <v>149.11930000000001</v>
      </c>
      <c r="L12">
        <v>353.40320000000003</v>
      </c>
    </row>
    <row r="13" spans="1:12" x14ac:dyDescent="0.2">
      <c r="A13" s="1">
        <v>42958.636273148149</v>
      </c>
      <c r="B13">
        <v>1443.6659999999999</v>
      </c>
      <c r="C13">
        <v>3</v>
      </c>
      <c r="D13" t="s">
        <v>36</v>
      </c>
      <c r="E13" t="s">
        <v>1</v>
      </c>
      <c r="F13" t="s">
        <v>5</v>
      </c>
      <c r="G13">
        <v>-2.168917</v>
      </c>
      <c r="H13">
        <v>1.899791</v>
      </c>
      <c r="I13">
        <v>1.6036440000000001</v>
      </c>
      <c r="J13">
        <v>7.0969850000000001</v>
      </c>
      <c r="K13">
        <v>50.016959999999997</v>
      </c>
      <c r="L13">
        <v>350.08710000000002</v>
      </c>
    </row>
    <row r="14" spans="1:12" x14ac:dyDescent="0.2">
      <c r="A14" s="1">
        <v>42958.636319444442</v>
      </c>
      <c r="B14">
        <v>1448.441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1.8819060000000001</v>
      </c>
      <c r="I14">
        <v>-0.67300000000000004</v>
      </c>
      <c r="J14">
        <v>14.170450000000001</v>
      </c>
      <c r="K14">
        <v>36.297339999999998</v>
      </c>
      <c r="L14">
        <v>350.14280000000002</v>
      </c>
    </row>
    <row r="15" spans="1:12" x14ac:dyDescent="0.2">
      <c r="A15" s="1">
        <v>42958.636377314811</v>
      </c>
      <c r="B15">
        <v>1453.1479999999999</v>
      </c>
      <c r="C15">
        <v>4</v>
      </c>
      <c r="D15" t="s">
        <v>35</v>
      </c>
      <c r="E15" t="s">
        <v>4</v>
      </c>
      <c r="F15" t="s">
        <v>6</v>
      </c>
      <c r="G15">
        <v>3.816516</v>
      </c>
      <c r="H15">
        <v>1.8788549999999999</v>
      </c>
      <c r="I15">
        <v>-0.54518809999999995</v>
      </c>
      <c r="J15">
        <v>18.829889999999999</v>
      </c>
      <c r="K15">
        <v>200.23949999999999</v>
      </c>
      <c r="L15">
        <v>352.0018</v>
      </c>
    </row>
    <row r="16" spans="1:12" x14ac:dyDescent="0.2">
      <c r="A16" s="1">
        <v>42958.636655092596</v>
      </c>
      <c r="B16">
        <v>1476.848</v>
      </c>
      <c r="C16">
        <v>4</v>
      </c>
      <c r="D16" t="s">
        <v>36</v>
      </c>
      <c r="E16" t="s">
        <v>4</v>
      </c>
      <c r="F16" t="s">
        <v>6</v>
      </c>
      <c r="G16">
        <v>-3.6091959999999998</v>
      </c>
      <c r="H16">
        <v>1.895014</v>
      </c>
      <c r="I16">
        <v>1.977581</v>
      </c>
      <c r="J16">
        <v>12.456099999999999</v>
      </c>
      <c r="K16">
        <v>134.46639999999999</v>
      </c>
      <c r="L16">
        <v>355.01420000000002</v>
      </c>
    </row>
    <row r="17" spans="1:12" x14ac:dyDescent="0.2">
      <c r="A17" s="1">
        <v>42958.636678240742</v>
      </c>
      <c r="B17">
        <v>1479.479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1.901618</v>
      </c>
      <c r="I17">
        <v>-4.117</v>
      </c>
      <c r="J17">
        <v>10.40639</v>
      </c>
      <c r="K17">
        <v>128.9443</v>
      </c>
      <c r="L17">
        <v>348.64929999999998</v>
      </c>
    </row>
    <row r="18" spans="1:12" x14ac:dyDescent="0.2">
      <c r="A18" s="1">
        <v>42958.63685185185</v>
      </c>
      <c r="B18">
        <v>1494.4090000000001</v>
      </c>
      <c r="C18">
        <v>5</v>
      </c>
      <c r="D18" t="s">
        <v>35</v>
      </c>
      <c r="E18" t="s">
        <v>0</v>
      </c>
      <c r="F18" t="s">
        <v>1</v>
      </c>
      <c r="G18">
        <v>-0.76290469999999999</v>
      </c>
      <c r="H18">
        <v>1.8902159999999999</v>
      </c>
      <c r="I18">
        <v>-4.212021</v>
      </c>
      <c r="J18">
        <v>13.372909999999999</v>
      </c>
      <c r="K18">
        <v>200.28450000000001</v>
      </c>
      <c r="L18">
        <v>353.06610000000001</v>
      </c>
    </row>
    <row r="19" spans="1:12" x14ac:dyDescent="0.2">
      <c r="A19" s="1">
        <v>42958.637349537035</v>
      </c>
      <c r="B19">
        <v>1537.07</v>
      </c>
      <c r="C19">
        <v>5</v>
      </c>
      <c r="D19" t="s">
        <v>36</v>
      </c>
      <c r="E19" t="s">
        <v>0</v>
      </c>
      <c r="F19" t="s">
        <v>1</v>
      </c>
      <c r="G19">
        <v>-3.6890689999999999</v>
      </c>
      <c r="H19">
        <v>1.8984399999999999</v>
      </c>
      <c r="I19">
        <v>5.5478009999999998</v>
      </c>
      <c r="J19">
        <v>10.17381</v>
      </c>
      <c r="K19">
        <v>142.49189999999999</v>
      </c>
      <c r="L19">
        <v>350.35759999999999</v>
      </c>
    </row>
    <row r="20" spans="1:12" x14ac:dyDescent="0.2">
      <c r="A20" s="1">
        <v>42958.637361111112</v>
      </c>
      <c r="B20">
        <v>1538.4870000000001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1.898072</v>
      </c>
      <c r="I20">
        <v>-1.4059999999999999</v>
      </c>
      <c r="J20">
        <v>10.744490000000001</v>
      </c>
      <c r="K20">
        <v>136.15100000000001</v>
      </c>
      <c r="L20">
        <v>352.25240000000002</v>
      </c>
    </row>
    <row r="21" spans="1:12" x14ac:dyDescent="0.2">
      <c r="A21" s="1">
        <v>42958.637430555558</v>
      </c>
      <c r="B21">
        <v>1544.46</v>
      </c>
      <c r="C21">
        <v>6</v>
      </c>
      <c r="D21" t="s">
        <v>35</v>
      </c>
      <c r="E21" t="s">
        <v>33</v>
      </c>
      <c r="F21" t="s">
        <v>3</v>
      </c>
      <c r="G21">
        <v>-4.0029979999999998</v>
      </c>
      <c r="H21">
        <v>1.88422</v>
      </c>
      <c r="I21">
        <v>-1.5365310000000001</v>
      </c>
      <c r="J21">
        <v>19.005710000000001</v>
      </c>
      <c r="K21">
        <v>259.33330000000001</v>
      </c>
      <c r="L21">
        <v>353.28379999999999</v>
      </c>
    </row>
    <row r="22" spans="1:12" x14ac:dyDescent="0.2">
      <c r="A22" s="1">
        <v>42958.637592592589</v>
      </c>
      <c r="B22">
        <v>1558.3230000000001</v>
      </c>
      <c r="C22">
        <v>6</v>
      </c>
      <c r="D22" t="s">
        <v>36</v>
      </c>
      <c r="E22" t="s">
        <v>33</v>
      </c>
      <c r="F22" t="s">
        <v>3</v>
      </c>
      <c r="G22">
        <v>-8.4574400000000001</v>
      </c>
      <c r="H22">
        <v>1.893384</v>
      </c>
      <c r="I22">
        <v>-4.4872779999999999</v>
      </c>
      <c r="J22">
        <v>9.4678120000000003</v>
      </c>
      <c r="K22">
        <v>170.52789999999999</v>
      </c>
      <c r="L22">
        <v>352.27019999999999</v>
      </c>
    </row>
    <row r="23" spans="1:12" x14ac:dyDescent="0.2">
      <c r="A23" s="1">
        <v>42958.637615740743</v>
      </c>
      <c r="B23">
        <v>1560.1279999999999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1.894037</v>
      </c>
      <c r="I23">
        <v>4.1399999999999997</v>
      </c>
      <c r="J23">
        <v>10.652749999999999</v>
      </c>
      <c r="K23">
        <v>155.25489999999999</v>
      </c>
      <c r="L23">
        <v>350.411</v>
      </c>
    </row>
    <row r="24" spans="1:12" x14ac:dyDescent="0.2">
      <c r="A24" s="1">
        <v>42958.637673611112</v>
      </c>
      <c r="B24">
        <v>1565.155</v>
      </c>
      <c r="C24">
        <v>7</v>
      </c>
      <c r="D24" t="s">
        <v>35</v>
      </c>
      <c r="E24" t="s">
        <v>1</v>
      </c>
      <c r="F24" t="s">
        <v>5</v>
      </c>
      <c r="G24">
        <v>-3.9447369999999999</v>
      </c>
      <c r="H24">
        <v>1.877729</v>
      </c>
      <c r="I24">
        <v>3.9805009999999998</v>
      </c>
      <c r="J24">
        <v>15.734069999999999</v>
      </c>
      <c r="K24">
        <v>56.761400000000002</v>
      </c>
      <c r="L24">
        <v>356.33909999999997</v>
      </c>
    </row>
    <row r="25" spans="1:12" x14ac:dyDescent="0.2">
      <c r="A25" s="1">
        <v>42958.637824074074</v>
      </c>
      <c r="B25">
        <v>1578.2439999999999</v>
      </c>
      <c r="C25">
        <v>7</v>
      </c>
      <c r="D25" t="s">
        <v>36</v>
      </c>
      <c r="E25" t="s">
        <v>1</v>
      </c>
      <c r="F25" t="s">
        <v>5</v>
      </c>
      <c r="G25">
        <v>0.3958721</v>
      </c>
      <c r="H25">
        <v>1.902647</v>
      </c>
      <c r="I25">
        <v>2.0280450000000001</v>
      </c>
      <c r="J25">
        <v>11.58779</v>
      </c>
      <c r="K25">
        <v>300.64400000000001</v>
      </c>
      <c r="L25">
        <v>352.54360000000003</v>
      </c>
    </row>
    <row r="26" spans="1:12" x14ac:dyDescent="0.2">
      <c r="A26" s="1">
        <v>42958.63784722222</v>
      </c>
      <c r="B26">
        <v>1579.627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1.899737</v>
      </c>
      <c r="I26">
        <v>-4.3440000000000003</v>
      </c>
      <c r="J26">
        <v>14.521089999999999</v>
      </c>
      <c r="K26">
        <v>300.61189999999999</v>
      </c>
      <c r="L26">
        <v>354.9391</v>
      </c>
    </row>
    <row r="27" spans="1:12" x14ac:dyDescent="0.2">
      <c r="A27" s="1">
        <v>42958.637881944444</v>
      </c>
      <c r="B27">
        <v>1582.7819999999999</v>
      </c>
      <c r="C27">
        <v>8</v>
      </c>
      <c r="D27" t="s">
        <v>35</v>
      </c>
      <c r="E27" t="s">
        <v>2</v>
      </c>
      <c r="F27" t="s">
        <v>0</v>
      </c>
      <c r="G27">
        <v>3.4041160000000001</v>
      </c>
      <c r="H27">
        <v>1.89723</v>
      </c>
      <c r="I27">
        <v>-4.2506890000000004</v>
      </c>
      <c r="J27">
        <v>10.69035</v>
      </c>
      <c r="K27">
        <v>153.01519999999999</v>
      </c>
      <c r="L27">
        <v>356.13029999999998</v>
      </c>
    </row>
    <row r="28" spans="1:12" x14ac:dyDescent="0.2">
      <c r="A28" s="1">
        <v>42958.638009259259</v>
      </c>
      <c r="B28">
        <v>1593.848</v>
      </c>
      <c r="C28">
        <v>8</v>
      </c>
      <c r="D28" t="s">
        <v>36</v>
      </c>
      <c r="E28" t="s">
        <v>2</v>
      </c>
      <c r="F28" t="s">
        <v>0</v>
      </c>
      <c r="G28">
        <v>0.20093730000000001</v>
      </c>
      <c r="H28">
        <v>1.89659</v>
      </c>
      <c r="I28">
        <v>-4.491892</v>
      </c>
      <c r="J28">
        <v>13.32822</v>
      </c>
      <c r="K28">
        <v>287.30829999999997</v>
      </c>
      <c r="L28">
        <v>354.56889999999999</v>
      </c>
    </row>
    <row r="29" spans="1:12" x14ac:dyDescent="0.2">
      <c r="A29" s="1">
        <v>42958.638020833336</v>
      </c>
      <c r="B29">
        <v>1595.5519999999999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1.8864909999999999</v>
      </c>
      <c r="I29">
        <v>-1.4059999999999999</v>
      </c>
      <c r="J29">
        <v>16.961770000000001</v>
      </c>
      <c r="K29">
        <v>285.44260000000003</v>
      </c>
      <c r="L29">
        <v>353.95409999999998</v>
      </c>
    </row>
    <row r="30" spans="1:12" x14ac:dyDescent="0.2">
      <c r="A30" s="1">
        <v>42958.638101851851</v>
      </c>
      <c r="B30">
        <v>1602.3</v>
      </c>
      <c r="C30">
        <v>9</v>
      </c>
      <c r="D30" t="s">
        <v>35</v>
      </c>
      <c r="E30" t="s">
        <v>33</v>
      </c>
      <c r="F30" t="s">
        <v>3</v>
      </c>
      <c r="G30">
        <v>-4.0680440000000004</v>
      </c>
      <c r="H30">
        <v>1.880601</v>
      </c>
      <c r="I30">
        <v>-1.460202</v>
      </c>
      <c r="J30">
        <v>17.779820000000001</v>
      </c>
      <c r="K30">
        <v>233.9195</v>
      </c>
      <c r="L30">
        <v>351.36270000000002</v>
      </c>
    </row>
    <row r="31" spans="1:12" x14ac:dyDescent="0.2">
      <c r="A31" s="1">
        <v>42958.638310185182</v>
      </c>
      <c r="B31">
        <v>1620.0160000000001</v>
      </c>
      <c r="C31">
        <v>9</v>
      </c>
      <c r="D31" t="s">
        <v>36</v>
      </c>
      <c r="E31" t="s">
        <v>33</v>
      </c>
      <c r="F31" t="s">
        <v>3</v>
      </c>
      <c r="G31">
        <v>-0.16891339999999999</v>
      </c>
      <c r="H31">
        <v>1.8887929999999999</v>
      </c>
      <c r="I31">
        <v>2.8095379999999999</v>
      </c>
      <c r="J31">
        <v>15.777010000000001</v>
      </c>
      <c r="K31">
        <v>84.112110000000001</v>
      </c>
      <c r="L31">
        <v>356.09370000000001</v>
      </c>
    </row>
    <row r="32" spans="1:12" x14ac:dyDescent="0.2">
      <c r="A32" s="1">
        <v>42958.638356481482</v>
      </c>
      <c r="B32">
        <v>1623.998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1.913392</v>
      </c>
      <c r="I32">
        <v>2.7240000000000002</v>
      </c>
      <c r="J32">
        <v>2.870171</v>
      </c>
      <c r="K32">
        <v>87.951419999999999</v>
      </c>
      <c r="L32">
        <v>355.05040000000002</v>
      </c>
    </row>
    <row r="33" spans="1:12" x14ac:dyDescent="0.2">
      <c r="A33" s="1">
        <v>42958.638425925928</v>
      </c>
      <c r="B33">
        <v>1629.6679999999999</v>
      </c>
      <c r="C33">
        <v>10</v>
      </c>
      <c r="D33" t="s">
        <v>35</v>
      </c>
      <c r="E33" t="s">
        <v>5</v>
      </c>
      <c r="F33" t="s">
        <v>2</v>
      </c>
      <c r="G33">
        <v>0.2641539</v>
      </c>
      <c r="H33">
        <v>1.8786510000000001</v>
      </c>
      <c r="I33">
        <v>2.6474869999999999</v>
      </c>
      <c r="J33">
        <v>16.743179999999999</v>
      </c>
      <c r="K33">
        <v>227.48769999999999</v>
      </c>
      <c r="L33">
        <v>357.10599999999999</v>
      </c>
    </row>
    <row r="34" spans="1:12" x14ac:dyDescent="0.2">
      <c r="A34" s="1">
        <v>42958.638657407406</v>
      </c>
      <c r="B34">
        <v>1650.373</v>
      </c>
      <c r="C34">
        <v>10</v>
      </c>
      <c r="D34" t="s">
        <v>36</v>
      </c>
      <c r="E34" t="s">
        <v>5</v>
      </c>
      <c r="F34" t="s">
        <v>2</v>
      </c>
      <c r="G34">
        <v>0.97804650000000004</v>
      </c>
      <c r="H34">
        <v>1.9038189999999999</v>
      </c>
      <c r="I34">
        <v>-5.0495400000000004</v>
      </c>
      <c r="J34">
        <v>10.077769999999999</v>
      </c>
      <c r="K34">
        <v>298.72550000000001</v>
      </c>
      <c r="L34">
        <v>356.61950000000002</v>
      </c>
    </row>
    <row r="35" spans="1:12" x14ac:dyDescent="0.2">
      <c r="A35" s="1">
        <v>42958.638680555552</v>
      </c>
      <c r="B35">
        <v>1652.1610000000001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1.899222</v>
      </c>
      <c r="I35">
        <v>-4.117</v>
      </c>
      <c r="J35">
        <v>13.561920000000001</v>
      </c>
      <c r="K35">
        <v>289.2337</v>
      </c>
      <c r="L35">
        <v>354.83909999999997</v>
      </c>
    </row>
    <row r="36" spans="1:12" x14ac:dyDescent="0.2">
      <c r="A36" s="1">
        <v>42958.638715277775</v>
      </c>
      <c r="B36">
        <v>1654.7270000000001</v>
      </c>
      <c r="C36">
        <v>11</v>
      </c>
      <c r="D36" t="s">
        <v>35</v>
      </c>
      <c r="E36" t="s">
        <v>0</v>
      </c>
      <c r="F36" t="s">
        <v>1</v>
      </c>
      <c r="G36">
        <v>-0.75948970000000005</v>
      </c>
      <c r="H36">
        <v>1.892593</v>
      </c>
      <c r="I36">
        <v>-4.1140840000000001</v>
      </c>
      <c r="J36">
        <v>11.979010000000001</v>
      </c>
      <c r="K36">
        <v>239.18090000000001</v>
      </c>
      <c r="L36">
        <v>355.57389999999998</v>
      </c>
    </row>
    <row r="37" spans="1:12" x14ac:dyDescent="0.2">
      <c r="A37" s="1">
        <v>42958.639016203706</v>
      </c>
      <c r="B37">
        <v>1680.663</v>
      </c>
      <c r="C37">
        <v>11</v>
      </c>
      <c r="D37" t="s">
        <v>36</v>
      </c>
      <c r="E37" t="s">
        <v>0</v>
      </c>
      <c r="F37" t="s">
        <v>1</v>
      </c>
      <c r="G37">
        <v>-1.6838329999999999</v>
      </c>
      <c r="H37">
        <v>1.8857250000000001</v>
      </c>
      <c r="I37">
        <v>0.65851159999999997</v>
      </c>
      <c r="J37">
        <v>12.554539999999999</v>
      </c>
      <c r="K37">
        <v>157.19640000000001</v>
      </c>
      <c r="L37">
        <v>351.02839999999998</v>
      </c>
    </row>
    <row r="38" spans="1:12" x14ac:dyDescent="0.2">
      <c r="A38" s="1">
        <v>42958.639027777775</v>
      </c>
      <c r="B38">
        <v>1682.1310000000001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1.898452</v>
      </c>
      <c r="I38">
        <v>1.8169999999999999</v>
      </c>
      <c r="J38">
        <v>5.0838890000000001</v>
      </c>
      <c r="K38">
        <v>143.64169999999999</v>
      </c>
      <c r="L38">
        <v>355.9171</v>
      </c>
    </row>
    <row r="39" spans="1:12" x14ac:dyDescent="0.2">
      <c r="A39" s="1">
        <v>42958.639097222222</v>
      </c>
      <c r="B39">
        <v>1688.105</v>
      </c>
      <c r="C39">
        <v>12</v>
      </c>
      <c r="D39" t="s">
        <v>35</v>
      </c>
      <c r="E39" t="s">
        <v>3</v>
      </c>
      <c r="F39" t="s">
        <v>4</v>
      </c>
      <c r="G39">
        <v>3.2386620000000002</v>
      </c>
      <c r="H39">
        <v>1.880477</v>
      </c>
      <c r="I39">
        <v>1.9063220000000001</v>
      </c>
      <c r="J39">
        <v>19.119340000000001</v>
      </c>
      <c r="K39">
        <v>312.3879</v>
      </c>
      <c r="L39">
        <v>353.97219999999999</v>
      </c>
    </row>
    <row r="40" spans="1:12" x14ac:dyDescent="0.2">
      <c r="A40" s="1">
        <v>42958.639247685183</v>
      </c>
      <c r="B40">
        <v>1700.8620000000001</v>
      </c>
      <c r="C40">
        <v>12</v>
      </c>
      <c r="D40" t="s">
        <v>36</v>
      </c>
      <c r="E40" t="s">
        <v>3</v>
      </c>
      <c r="F40" t="s">
        <v>4</v>
      </c>
      <c r="G40">
        <v>3.1894469999999999</v>
      </c>
      <c r="H40">
        <v>1.8970089999999999</v>
      </c>
      <c r="I40">
        <v>-1.0475030000000001</v>
      </c>
      <c r="J40">
        <v>9.6991340000000008</v>
      </c>
      <c r="K40">
        <v>266.45830000000001</v>
      </c>
      <c r="L40">
        <v>352.19920000000002</v>
      </c>
    </row>
    <row r="41" spans="1:12" x14ac:dyDescent="0.2">
      <c r="A41" s="1">
        <v>42958.63925925926</v>
      </c>
      <c r="B41">
        <v>1701.9929999999999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1.907683</v>
      </c>
      <c r="I41">
        <v>-1.4059999999999999</v>
      </c>
      <c r="J41">
        <v>9.2390319999999999</v>
      </c>
      <c r="K41">
        <v>267.98070000000001</v>
      </c>
      <c r="L41">
        <v>355.84359999999998</v>
      </c>
    </row>
    <row r="42" spans="1:12" x14ac:dyDescent="0.2">
      <c r="A42" s="1">
        <v>42958.639293981483</v>
      </c>
      <c r="B42">
        <v>1704.643</v>
      </c>
      <c r="C42">
        <v>13</v>
      </c>
      <c r="D42" t="s">
        <v>35</v>
      </c>
      <c r="E42" t="s">
        <v>33</v>
      </c>
      <c r="F42" t="s">
        <v>3</v>
      </c>
      <c r="G42">
        <v>-3.9177469999999999</v>
      </c>
      <c r="H42">
        <v>1.880444</v>
      </c>
      <c r="I42">
        <v>-1.4564239999999999</v>
      </c>
      <c r="J42">
        <v>18.217289999999998</v>
      </c>
      <c r="K42">
        <v>212.8098</v>
      </c>
      <c r="L42">
        <v>355.74720000000002</v>
      </c>
    </row>
    <row r="43" spans="1:12" x14ac:dyDescent="0.2">
      <c r="A43" s="1">
        <v>42958.639513888891</v>
      </c>
      <c r="B43">
        <v>1723.7819999999999</v>
      </c>
      <c r="C43">
        <v>13</v>
      </c>
      <c r="D43" t="s">
        <v>36</v>
      </c>
      <c r="E43" t="s">
        <v>33</v>
      </c>
      <c r="F43" t="s">
        <v>3</v>
      </c>
      <c r="G43">
        <v>-2.185095</v>
      </c>
      <c r="H43">
        <v>1.907513</v>
      </c>
      <c r="I43">
        <v>5.0655539999999997</v>
      </c>
      <c r="J43">
        <v>8.9468250000000005</v>
      </c>
      <c r="K43">
        <v>283.78059999999999</v>
      </c>
      <c r="L43">
        <v>354.9076</v>
      </c>
    </row>
    <row r="44" spans="1:12" x14ac:dyDescent="0.2">
      <c r="A44" s="1">
        <v>42958.639525462961</v>
      </c>
      <c r="B44">
        <v>1725.2840000000001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1.9049210000000001</v>
      </c>
      <c r="I44">
        <v>2.7240000000000002</v>
      </c>
      <c r="J44">
        <v>10.257529999999999</v>
      </c>
      <c r="K44">
        <v>279.26749999999998</v>
      </c>
      <c r="L44">
        <v>354.34399999999999</v>
      </c>
    </row>
    <row r="45" spans="1:12" x14ac:dyDescent="0.2">
      <c r="A45" s="1">
        <v>42958.639606481483</v>
      </c>
      <c r="B45">
        <v>1731.7829999999999</v>
      </c>
      <c r="C45">
        <v>14</v>
      </c>
      <c r="D45" t="s">
        <v>35</v>
      </c>
      <c r="E45" t="s">
        <v>5</v>
      </c>
      <c r="F45" t="s">
        <v>2</v>
      </c>
      <c r="G45">
        <v>0.14297869999999999</v>
      </c>
      <c r="H45">
        <v>1.910015</v>
      </c>
      <c r="I45">
        <v>2.6858819999999999</v>
      </c>
      <c r="J45">
        <v>12.282500000000001</v>
      </c>
      <c r="K45">
        <v>78.785659999999993</v>
      </c>
      <c r="L45">
        <v>355.53789999999998</v>
      </c>
    </row>
    <row r="46" spans="1:12" x14ac:dyDescent="0.2">
      <c r="A46" s="1">
        <v>42958.639930555553</v>
      </c>
      <c r="B46">
        <v>1760.451</v>
      </c>
      <c r="C46">
        <v>14</v>
      </c>
      <c r="D46" t="s">
        <v>36</v>
      </c>
      <c r="E46" t="s">
        <v>5</v>
      </c>
      <c r="F46" t="s">
        <v>2</v>
      </c>
      <c r="G46">
        <v>3.760637</v>
      </c>
      <c r="H46">
        <v>1.897043</v>
      </c>
      <c r="I46">
        <v>-5.4809729999999997</v>
      </c>
      <c r="J46">
        <v>16.208670000000001</v>
      </c>
      <c r="K46">
        <v>261.82650000000001</v>
      </c>
      <c r="L46">
        <v>355.67020000000002</v>
      </c>
    </row>
    <row r="47" spans="1:12" x14ac:dyDescent="0.2">
      <c r="A47" s="1">
        <v>42958.64</v>
      </c>
      <c r="B47">
        <v>1766.2539999999999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1.8971150000000001</v>
      </c>
      <c r="I47">
        <v>0.09</v>
      </c>
      <c r="J47">
        <v>10.27097</v>
      </c>
      <c r="K47">
        <v>85.071600000000004</v>
      </c>
      <c r="L47">
        <v>356.05200000000002</v>
      </c>
    </row>
    <row r="48" spans="1:12" x14ac:dyDescent="0.2">
      <c r="A48" s="1">
        <v>42958.640162037038</v>
      </c>
      <c r="B48">
        <v>1779.5830000000001</v>
      </c>
      <c r="C48">
        <v>15</v>
      </c>
      <c r="D48" t="s">
        <v>35</v>
      </c>
      <c r="E48" t="s">
        <v>6</v>
      </c>
      <c r="F48" t="s">
        <v>33</v>
      </c>
      <c r="G48">
        <v>-4.1644930000000002</v>
      </c>
      <c r="H48">
        <v>1.8778509999999999</v>
      </c>
      <c r="I48">
        <v>0.1012844</v>
      </c>
      <c r="J48">
        <v>17.122979999999998</v>
      </c>
      <c r="K48">
        <v>287.74950000000001</v>
      </c>
      <c r="L48">
        <v>353.6241</v>
      </c>
    </row>
    <row r="49" spans="1:12" x14ac:dyDescent="0.2">
      <c r="A49" s="1">
        <v>42958.6403125</v>
      </c>
      <c r="B49">
        <v>1793.287</v>
      </c>
      <c r="C49">
        <v>15</v>
      </c>
      <c r="D49" t="s">
        <v>36</v>
      </c>
      <c r="E49" t="s">
        <v>6</v>
      </c>
      <c r="F49" t="s">
        <v>33</v>
      </c>
      <c r="G49">
        <v>-3.1663070000000002</v>
      </c>
      <c r="H49">
        <v>1.904355</v>
      </c>
      <c r="I49">
        <v>3.956391</v>
      </c>
      <c r="J49">
        <v>6.0281589999999996</v>
      </c>
      <c r="K49">
        <v>20.831040000000002</v>
      </c>
      <c r="L49">
        <v>353.19510000000002</v>
      </c>
    </row>
    <row r="50" spans="1:12" x14ac:dyDescent="0.2">
      <c r="A50" s="1">
        <v>42958.640335648146</v>
      </c>
      <c r="B50">
        <v>1794.9749999999999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1.899899</v>
      </c>
      <c r="I50">
        <v>-0.67300000000000004</v>
      </c>
      <c r="J50">
        <v>11.645960000000001</v>
      </c>
      <c r="K50">
        <v>9.5735650000000003</v>
      </c>
      <c r="L50">
        <v>351.72579999999999</v>
      </c>
    </row>
    <row r="51" spans="1:12" x14ac:dyDescent="0.2">
      <c r="A51" s="1">
        <v>42958.640393518515</v>
      </c>
      <c r="B51">
        <v>1800.14</v>
      </c>
      <c r="C51">
        <v>16</v>
      </c>
      <c r="D51" t="s">
        <v>35</v>
      </c>
      <c r="E51" t="s">
        <v>4</v>
      </c>
      <c r="F51" t="s">
        <v>6</v>
      </c>
      <c r="G51">
        <v>3.9180000000000001</v>
      </c>
      <c r="H51">
        <v>1.899899</v>
      </c>
      <c r="I51">
        <v>-0.67300000000000004</v>
      </c>
      <c r="J51">
        <v>9.1864129999999999</v>
      </c>
      <c r="K51">
        <v>318.01580000000001</v>
      </c>
      <c r="L51">
        <v>355.108</v>
      </c>
    </row>
    <row r="52" spans="1:12" x14ac:dyDescent="0.2">
      <c r="A52" s="1">
        <v>42958.640717592592</v>
      </c>
      <c r="B52">
        <v>1827.886</v>
      </c>
      <c r="C52">
        <v>16</v>
      </c>
      <c r="D52" t="s">
        <v>36</v>
      </c>
      <c r="E52" t="s">
        <v>4</v>
      </c>
      <c r="F52" t="s">
        <v>6</v>
      </c>
      <c r="G52">
        <v>-4.8509460000000004</v>
      </c>
      <c r="H52">
        <v>1.8902829999999999</v>
      </c>
      <c r="I52">
        <v>-2.4554279999999999</v>
      </c>
      <c r="J52">
        <v>12.83071</v>
      </c>
      <c r="K52">
        <v>169.87649999999999</v>
      </c>
      <c r="L52">
        <v>353.45639999999997</v>
      </c>
    </row>
    <row r="53" spans="1:12" x14ac:dyDescent="0.2">
      <c r="A53" s="1">
        <v>42958.640752314815</v>
      </c>
      <c r="B53">
        <v>1830.654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1.8811</v>
      </c>
      <c r="I53">
        <v>1.8169999999999999</v>
      </c>
      <c r="J53">
        <v>15.606059999999999</v>
      </c>
      <c r="K53">
        <v>166.40289999999999</v>
      </c>
      <c r="L53">
        <v>352.75259999999997</v>
      </c>
    </row>
    <row r="54" spans="1:12" x14ac:dyDescent="0.2">
      <c r="A54" s="1">
        <v>42958.640798611108</v>
      </c>
      <c r="B54">
        <v>1834.857</v>
      </c>
      <c r="C54">
        <v>17</v>
      </c>
      <c r="D54" t="s">
        <v>35</v>
      </c>
      <c r="E54" t="s">
        <v>3</v>
      </c>
      <c r="F54" t="s">
        <v>4</v>
      </c>
      <c r="G54">
        <v>3.3882759999999998</v>
      </c>
      <c r="H54">
        <v>1.891696</v>
      </c>
      <c r="I54">
        <v>1.8209770000000001</v>
      </c>
      <c r="J54">
        <v>8.0609610000000007</v>
      </c>
      <c r="K54">
        <v>156.24359999999999</v>
      </c>
      <c r="L54">
        <v>353.7167</v>
      </c>
    </row>
    <row r="55" spans="1:12" x14ac:dyDescent="0.2">
      <c r="A55" s="1">
        <v>42958.640925925924</v>
      </c>
      <c r="B55">
        <v>1845.979</v>
      </c>
      <c r="C55">
        <v>17</v>
      </c>
      <c r="D55" t="s">
        <v>36</v>
      </c>
      <c r="E55" t="s">
        <v>3</v>
      </c>
      <c r="F55" t="s">
        <v>4</v>
      </c>
      <c r="G55">
        <v>1.8339939999999999</v>
      </c>
      <c r="H55">
        <v>1.9023749999999999</v>
      </c>
      <c r="I55">
        <v>-0.81248629999999999</v>
      </c>
      <c r="J55">
        <v>7.3889829999999996</v>
      </c>
      <c r="K55">
        <v>15.17019</v>
      </c>
      <c r="L55">
        <v>353.13740000000001</v>
      </c>
    </row>
    <row r="56" spans="1:12" x14ac:dyDescent="0.2">
      <c r="A56" s="1">
        <v>42958.6409375</v>
      </c>
      <c r="B56">
        <v>1847.059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1.896039</v>
      </c>
      <c r="I56">
        <v>-4.3440000000000003</v>
      </c>
      <c r="J56">
        <v>10.816739999999999</v>
      </c>
      <c r="K56">
        <v>15.4107</v>
      </c>
      <c r="L56">
        <v>357.51249999999999</v>
      </c>
    </row>
    <row r="57" spans="1:12" x14ac:dyDescent="0.2">
      <c r="A57" s="1">
        <v>42958.64099537037</v>
      </c>
      <c r="B57">
        <v>1851.616</v>
      </c>
      <c r="C57">
        <v>18</v>
      </c>
      <c r="D57" t="s">
        <v>35</v>
      </c>
      <c r="E57" t="s">
        <v>2</v>
      </c>
      <c r="F57" t="s">
        <v>0</v>
      </c>
      <c r="G57">
        <v>3.6735090000000001</v>
      </c>
      <c r="H57">
        <v>1.8846830000000001</v>
      </c>
      <c r="I57">
        <v>-4.3620640000000002</v>
      </c>
      <c r="J57">
        <v>14.998849999999999</v>
      </c>
      <c r="K57">
        <v>244.28309999999999</v>
      </c>
      <c r="L57">
        <v>352.29480000000001</v>
      </c>
    </row>
    <row r="58" spans="1:12" x14ac:dyDescent="0.2">
      <c r="A58" s="1">
        <v>42958.641122685185</v>
      </c>
      <c r="B58">
        <v>1863.329</v>
      </c>
      <c r="C58">
        <v>18</v>
      </c>
      <c r="D58" t="s">
        <v>36</v>
      </c>
      <c r="E58" t="s">
        <v>2</v>
      </c>
      <c r="F58" t="s">
        <v>0</v>
      </c>
      <c r="G58">
        <v>0.74058959999999996</v>
      </c>
      <c r="H58">
        <v>1.9039299999999999</v>
      </c>
      <c r="I58">
        <v>-3.5940219999999998</v>
      </c>
      <c r="J58">
        <v>8.2188090000000003</v>
      </c>
      <c r="K58">
        <v>286.44850000000002</v>
      </c>
      <c r="L58">
        <v>352.11099999999999</v>
      </c>
    </row>
    <row r="59" spans="1:12" x14ac:dyDescent="0.2">
      <c r="A59" s="1">
        <v>42958.641192129631</v>
      </c>
      <c r="B59">
        <v>1869.134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1.882701</v>
      </c>
      <c r="I59">
        <v>-0.67300000000000004</v>
      </c>
      <c r="J59">
        <v>16.830120000000001</v>
      </c>
      <c r="K59">
        <v>301.0308</v>
      </c>
      <c r="L59">
        <v>352.48570000000001</v>
      </c>
    </row>
    <row r="60" spans="1:12" x14ac:dyDescent="0.2">
      <c r="A60" s="1">
        <v>42958.641238425924</v>
      </c>
      <c r="B60">
        <v>1872.9490000000001</v>
      </c>
      <c r="C60">
        <v>19</v>
      </c>
      <c r="D60" t="s">
        <v>35</v>
      </c>
      <c r="E60" t="s">
        <v>4</v>
      </c>
      <c r="F60" t="s">
        <v>6</v>
      </c>
      <c r="G60">
        <v>3.8511160000000002</v>
      </c>
      <c r="H60">
        <v>1.8819459999999999</v>
      </c>
      <c r="I60">
        <v>-0.74361999999999995</v>
      </c>
      <c r="J60">
        <v>16.741019999999999</v>
      </c>
      <c r="K60">
        <v>292.95710000000003</v>
      </c>
      <c r="L60">
        <v>354.21519999999998</v>
      </c>
    </row>
    <row r="61" spans="1:12" x14ac:dyDescent="0.2">
      <c r="A61" s="1">
        <v>42958.641851851855</v>
      </c>
      <c r="B61">
        <v>1926.4449999999999</v>
      </c>
      <c r="C61">
        <v>19</v>
      </c>
      <c r="D61" t="s">
        <v>36</v>
      </c>
      <c r="E61" t="s">
        <v>4</v>
      </c>
      <c r="F61" t="s">
        <v>6</v>
      </c>
      <c r="G61">
        <v>-3.7981829999999999</v>
      </c>
      <c r="H61">
        <v>1.910998</v>
      </c>
      <c r="I61">
        <v>-3.8640500000000002</v>
      </c>
      <c r="J61">
        <v>7.5642009999999997</v>
      </c>
      <c r="K61">
        <v>329.59679999999997</v>
      </c>
      <c r="L61">
        <v>353.24149999999997</v>
      </c>
    </row>
    <row r="62" spans="1:12" x14ac:dyDescent="0.2">
      <c r="A62" s="1">
        <v>42958.641875000001</v>
      </c>
      <c r="B62">
        <v>1927.7439999999999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1.8931020000000001</v>
      </c>
      <c r="I62">
        <v>-1.4059999999999999</v>
      </c>
      <c r="J62">
        <v>10.420299999999999</v>
      </c>
      <c r="K62">
        <v>325.92919999999998</v>
      </c>
      <c r="L62">
        <v>351.76130000000001</v>
      </c>
    </row>
    <row r="63" spans="1:12" x14ac:dyDescent="0.2">
      <c r="A63" s="1">
        <v>42958.641932870371</v>
      </c>
      <c r="B63">
        <v>1932.655</v>
      </c>
      <c r="C63">
        <v>20</v>
      </c>
      <c r="D63" t="s">
        <v>35</v>
      </c>
      <c r="E63" t="s">
        <v>33</v>
      </c>
      <c r="F63" t="s">
        <v>3</v>
      </c>
      <c r="G63">
        <v>-3.8754979999999999</v>
      </c>
      <c r="H63">
        <v>1.8842559999999999</v>
      </c>
      <c r="I63">
        <v>-1.3648499999999999</v>
      </c>
      <c r="J63">
        <v>16.60183</v>
      </c>
      <c r="K63">
        <v>200.90520000000001</v>
      </c>
      <c r="L63">
        <v>354.87490000000003</v>
      </c>
    </row>
    <row r="64" spans="1:12" x14ac:dyDescent="0.2">
      <c r="A64" s="1">
        <v>42958.642222222225</v>
      </c>
      <c r="B64">
        <v>1957.646</v>
      </c>
      <c r="C64">
        <v>20</v>
      </c>
      <c r="D64" t="s">
        <v>36</v>
      </c>
      <c r="E64" t="s">
        <v>33</v>
      </c>
      <c r="F64" t="s">
        <v>3</v>
      </c>
      <c r="G64">
        <v>1.737144</v>
      </c>
      <c r="H64">
        <v>1.887556</v>
      </c>
      <c r="I64">
        <v>6.1385329999999998</v>
      </c>
      <c r="J64">
        <v>18.192920000000001</v>
      </c>
      <c r="K64">
        <v>146.14940000000001</v>
      </c>
      <c r="L64">
        <v>353.0068</v>
      </c>
    </row>
    <row r="65" spans="1:12" x14ac:dyDescent="0.2">
      <c r="A65" s="1">
        <v>42958.642245370371</v>
      </c>
      <c r="B65">
        <v>1960.144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1.893637</v>
      </c>
      <c r="I65">
        <v>-4.117</v>
      </c>
      <c r="J65">
        <v>15.63367</v>
      </c>
      <c r="K65">
        <v>141.47489999999999</v>
      </c>
      <c r="L65">
        <v>352.11079999999998</v>
      </c>
    </row>
    <row r="66" spans="1:12" x14ac:dyDescent="0.2">
      <c r="A66" s="1">
        <v>42958.64230324074</v>
      </c>
      <c r="B66">
        <v>1965.425</v>
      </c>
      <c r="C66">
        <v>21</v>
      </c>
      <c r="D66" t="s">
        <v>35</v>
      </c>
      <c r="E66" t="s">
        <v>0</v>
      </c>
      <c r="F66" t="s">
        <v>1</v>
      </c>
      <c r="G66">
        <v>-0.69946540000000001</v>
      </c>
      <c r="H66">
        <v>1.8866039999999999</v>
      </c>
      <c r="I66">
        <v>-4.3299180000000002</v>
      </c>
      <c r="J66">
        <v>17.089200000000002</v>
      </c>
      <c r="K66">
        <v>241.96719999999999</v>
      </c>
      <c r="L66">
        <v>355.93599999999998</v>
      </c>
    </row>
    <row r="67" spans="1:12" x14ac:dyDescent="0.2">
      <c r="A67" s="1">
        <v>42958.64261574074</v>
      </c>
      <c r="B67">
        <v>1992.4749999999999</v>
      </c>
      <c r="C67">
        <v>21</v>
      </c>
      <c r="D67" t="s">
        <v>36</v>
      </c>
      <c r="E67" t="s">
        <v>0</v>
      </c>
      <c r="F67" t="s">
        <v>1</v>
      </c>
      <c r="G67">
        <v>-4.7717840000000002</v>
      </c>
      <c r="H67">
        <v>1.8963939999999999</v>
      </c>
      <c r="I67">
        <v>3.9699520000000001</v>
      </c>
      <c r="J67">
        <v>7.469849</v>
      </c>
      <c r="K67">
        <v>61.296639999999996</v>
      </c>
      <c r="L67">
        <v>353.19450000000001</v>
      </c>
    </row>
    <row r="68" spans="1:12" x14ac:dyDescent="0.2">
      <c r="A68" s="1">
        <v>42958.64266203704</v>
      </c>
      <c r="B68">
        <v>1996.0360000000001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1.9104779999999999</v>
      </c>
      <c r="I68">
        <v>4.1399999999999997</v>
      </c>
      <c r="J68">
        <v>7.2892580000000002</v>
      </c>
      <c r="K68">
        <v>53.985750000000003</v>
      </c>
      <c r="L68">
        <v>354.54430000000002</v>
      </c>
    </row>
    <row r="69" spans="1:12" x14ac:dyDescent="0.2">
      <c r="A69" s="1">
        <v>42958.642696759256</v>
      </c>
      <c r="B69">
        <v>1999.4449999999999</v>
      </c>
      <c r="C69">
        <v>22</v>
      </c>
      <c r="D69" t="s">
        <v>35</v>
      </c>
      <c r="E69" t="s">
        <v>1</v>
      </c>
      <c r="F69" t="s">
        <v>5</v>
      </c>
      <c r="G69">
        <v>-3.901551</v>
      </c>
      <c r="H69">
        <v>1.8930830000000001</v>
      </c>
      <c r="I69">
        <v>4.0187569999999999</v>
      </c>
      <c r="J69">
        <v>13.47012</v>
      </c>
      <c r="K69">
        <v>148.75030000000001</v>
      </c>
      <c r="L69">
        <v>357.5797</v>
      </c>
    </row>
    <row r="70" spans="1:12" x14ac:dyDescent="0.2">
      <c r="A70" s="1">
        <v>42958.642905092594</v>
      </c>
      <c r="B70">
        <v>2016.9090000000001</v>
      </c>
      <c r="C70">
        <v>22</v>
      </c>
      <c r="D70" t="s">
        <v>36</v>
      </c>
      <c r="E70" t="s">
        <v>1</v>
      </c>
      <c r="F70" t="s">
        <v>5</v>
      </c>
      <c r="G70">
        <v>-0.58983470000000005</v>
      </c>
      <c r="H70">
        <v>1.9042399999999999</v>
      </c>
      <c r="I70">
        <v>-0.1115251</v>
      </c>
      <c r="J70">
        <v>6.3621230000000004</v>
      </c>
      <c r="K70">
        <v>206.37100000000001</v>
      </c>
      <c r="L70">
        <v>355.5872</v>
      </c>
    </row>
    <row r="71" spans="1:12" x14ac:dyDescent="0.2">
      <c r="A71" s="1">
        <v>42958.642916666664</v>
      </c>
      <c r="B71">
        <v>2018.175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1.908758</v>
      </c>
      <c r="I71">
        <v>0.09</v>
      </c>
      <c r="J71">
        <v>5.0607639999999998</v>
      </c>
      <c r="K71">
        <v>201.33789999999999</v>
      </c>
      <c r="L71">
        <v>353.24689999999998</v>
      </c>
    </row>
    <row r="72" spans="1:12" x14ac:dyDescent="0.2">
      <c r="A72" s="1">
        <v>42958.642962962964</v>
      </c>
      <c r="B72">
        <v>2021.8019999999999</v>
      </c>
      <c r="C72">
        <v>23</v>
      </c>
      <c r="D72" t="s">
        <v>35</v>
      </c>
      <c r="E72" t="s">
        <v>6</v>
      </c>
      <c r="F72" t="s">
        <v>33</v>
      </c>
      <c r="G72">
        <v>-4.0066740000000003</v>
      </c>
      <c r="H72">
        <v>1.8795219999999999</v>
      </c>
      <c r="I72">
        <v>9.1223339999999993E-3</v>
      </c>
      <c r="J72">
        <v>17.90334</v>
      </c>
      <c r="K72">
        <v>170.56979999999999</v>
      </c>
      <c r="L72">
        <v>351.41090000000003</v>
      </c>
    </row>
    <row r="73" spans="1:12" x14ac:dyDescent="0.2">
      <c r="A73" s="1">
        <v>42958.643113425926</v>
      </c>
      <c r="B73">
        <v>2034.741</v>
      </c>
      <c r="C73">
        <v>23</v>
      </c>
      <c r="D73" t="s">
        <v>36</v>
      </c>
      <c r="E73" t="s">
        <v>6</v>
      </c>
      <c r="F73" t="s">
        <v>33</v>
      </c>
      <c r="G73">
        <v>-3.8719030000000001</v>
      </c>
      <c r="H73">
        <v>1.8986320000000001</v>
      </c>
      <c r="I73">
        <v>-4.0808410000000004</v>
      </c>
      <c r="J73">
        <v>9.1632560000000005</v>
      </c>
      <c r="K73">
        <v>111.6725</v>
      </c>
      <c r="L73">
        <v>352.7946</v>
      </c>
    </row>
    <row r="74" spans="1:12" x14ac:dyDescent="0.2">
      <c r="A74" s="1">
        <v>42958.643136574072</v>
      </c>
      <c r="B74">
        <v>2036.6980000000001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1.886827</v>
      </c>
      <c r="I74">
        <v>2.7240000000000002</v>
      </c>
      <c r="J74">
        <v>13.90211</v>
      </c>
      <c r="K74">
        <v>105.2029</v>
      </c>
      <c r="L74">
        <v>354.3877</v>
      </c>
    </row>
    <row r="75" spans="1:12" x14ac:dyDescent="0.2">
      <c r="A75" s="1">
        <v>42958.643171296295</v>
      </c>
      <c r="B75">
        <v>2040.4590000000001</v>
      </c>
      <c r="C75">
        <v>24</v>
      </c>
      <c r="D75" t="s">
        <v>35</v>
      </c>
      <c r="E75" t="s">
        <v>5</v>
      </c>
      <c r="F75" t="s">
        <v>2</v>
      </c>
      <c r="G75">
        <v>7.7584559999999997E-2</v>
      </c>
      <c r="H75">
        <v>1.880995</v>
      </c>
      <c r="I75">
        <v>2.657956</v>
      </c>
      <c r="J75">
        <v>16.035630000000001</v>
      </c>
      <c r="K75">
        <v>100.9289</v>
      </c>
      <c r="L75">
        <v>353.3297</v>
      </c>
    </row>
    <row r="76" spans="1:12" x14ac:dyDescent="0.2">
      <c r="A76" s="1">
        <v>42958.643414351849</v>
      </c>
      <c r="B76">
        <v>2061.1089999999999</v>
      </c>
      <c r="C76">
        <v>24</v>
      </c>
      <c r="D76" t="s">
        <v>36</v>
      </c>
      <c r="E76" t="s">
        <v>5</v>
      </c>
      <c r="F76" t="s">
        <v>2</v>
      </c>
      <c r="G76">
        <v>-0.7945951</v>
      </c>
      <c r="H76">
        <v>1.890593</v>
      </c>
      <c r="I76">
        <v>-4.6736040000000001</v>
      </c>
      <c r="J76">
        <v>12.323169999999999</v>
      </c>
      <c r="K76">
        <v>192.762</v>
      </c>
      <c r="L76">
        <v>353.16860000000003</v>
      </c>
    </row>
    <row r="77" spans="1:12" x14ac:dyDescent="0.2">
      <c r="A77" s="1">
        <v>42958.643425925926</v>
      </c>
      <c r="B77">
        <v>2062.1889999999999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1.8869210000000001</v>
      </c>
      <c r="I77">
        <v>4.1399999999999997</v>
      </c>
      <c r="J77">
        <v>15.6143</v>
      </c>
      <c r="K77">
        <v>180.762</v>
      </c>
      <c r="L77">
        <v>355.91759999999999</v>
      </c>
    </row>
    <row r="78" spans="1:12" x14ac:dyDescent="0.2">
      <c r="A78" s="1">
        <v>42958.643460648149</v>
      </c>
      <c r="B78">
        <v>2064.6860000000001</v>
      </c>
      <c r="C78">
        <v>25</v>
      </c>
      <c r="D78" t="s">
        <v>35</v>
      </c>
      <c r="E78" t="s">
        <v>1</v>
      </c>
      <c r="F78" t="s">
        <v>5</v>
      </c>
      <c r="G78">
        <v>-3.8706010000000002</v>
      </c>
      <c r="H78">
        <v>1.901599</v>
      </c>
      <c r="I78">
        <v>4.1939799999999998</v>
      </c>
      <c r="J78">
        <v>6.161448</v>
      </c>
      <c r="K78">
        <v>120.8048</v>
      </c>
      <c r="L78">
        <v>355.99799999999999</v>
      </c>
    </row>
    <row r="79" spans="1:12" x14ac:dyDescent="0.2">
      <c r="A79" s="1">
        <v>42958.643831018519</v>
      </c>
      <c r="B79">
        <v>2097.2809999999999</v>
      </c>
      <c r="C79">
        <v>25</v>
      </c>
      <c r="D79" t="s">
        <v>36</v>
      </c>
      <c r="E79" t="s">
        <v>1</v>
      </c>
      <c r="F79" t="s">
        <v>5</v>
      </c>
      <c r="G79">
        <v>-1.074862</v>
      </c>
      <c r="H79">
        <v>1.8890089999999999</v>
      </c>
      <c r="I79">
        <v>-1.174992</v>
      </c>
      <c r="J79">
        <v>16.323360000000001</v>
      </c>
      <c r="K79">
        <v>268.69420000000002</v>
      </c>
      <c r="L79">
        <v>355.13990000000001</v>
      </c>
    </row>
    <row r="80" spans="1:12" x14ac:dyDescent="0.2">
      <c r="A80" s="1">
        <v>42958.643842592595</v>
      </c>
      <c r="B80">
        <v>2098.529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1.904879</v>
      </c>
      <c r="I80">
        <v>-0.67300000000000004</v>
      </c>
      <c r="J80">
        <v>13.06504</v>
      </c>
      <c r="K80">
        <v>263.33589999999998</v>
      </c>
      <c r="L80">
        <v>356.01060000000001</v>
      </c>
    </row>
    <row r="81" spans="1:12" x14ac:dyDescent="0.2">
      <c r="A81" s="1">
        <v>42958.643900462965</v>
      </c>
      <c r="B81">
        <v>2102.8310000000001</v>
      </c>
      <c r="C81">
        <v>26</v>
      </c>
      <c r="D81" t="s">
        <v>35</v>
      </c>
      <c r="E81" t="s">
        <v>4</v>
      </c>
      <c r="F81" t="s">
        <v>6</v>
      </c>
      <c r="G81">
        <v>3.8139280000000002</v>
      </c>
      <c r="H81">
        <v>1.895346</v>
      </c>
      <c r="I81">
        <v>-0.60211329999999996</v>
      </c>
      <c r="J81">
        <v>18.241109999999999</v>
      </c>
      <c r="K81">
        <v>43.386699999999998</v>
      </c>
      <c r="L81">
        <v>357.3297</v>
      </c>
    </row>
    <row r="82" spans="1:12" x14ac:dyDescent="0.2">
      <c r="A82" s="1">
        <v>42958.644155092596</v>
      </c>
      <c r="B82">
        <v>2125.35</v>
      </c>
      <c r="C82">
        <v>26</v>
      </c>
      <c r="D82" t="s">
        <v>36</v>
      </c>
      <c r="E82" t="s">
        <v>4</v>
      </c>
      <c r="F82" t="s">
        <v>6</v>
      </c>
      <c r="G82">
        <v>-5.0450710000000001</v>
      </c>
      <c r="H82">
        <v>1.9009510000000001</v>
      </c>
      <c r="I82">
        <v>-3.7993450000000002</v>
      </c>
      <c r="J82">
        <v>11.33339</v>
      </c>
      <c r="K82">
        <v>48.830579999999998</v>
      </c>
      <c r="L82">
        <v>355.72660000000002</v>
      </c>
    </row>
    <row r="83" spans="1:12" x14ac:dyDescent="0.2">
      <c r="A83" s="1">
        <v>42958.644166666665</v>
      </c>
      <c r="B83">
        <v>2126.3620000000001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1.892792</v>
      </c>
      <c r="I83">
        <v>2.7240000000000002</v>
      </c>
      <c r="J83">
        <v>15.38597</v>
      </c>
      <c r="K83">
        <v>46.18235</v>
      </c>
      <c r="L83">
        <v>355.46109999999999</v>
      </c>
    </row>
    <row r="84" spans="1:12" x14ac:dyDescent="0.2">
      <c r="A84" s="1">
        <v>42958.644212962965</v>
      </c>
      <c r="B84">
        <v>2130.0569999999998</v>
      </c>
      <c r="C84">
        <v>27</v>
      </c>
      <c r="D84" t="s">
        <v>35</v>
      </c>
      <c r="E84" t="s">
        <v>5</v>
      </c>
      <c r="F84" t="s">
        <v>2</v>
      </c>
      <c r="G84">
        <v>5.8113379999999999E-2</v>
      </c>
      <c r="H84">
        <v>1.893572</v>
      </c>
      <c r="I84">
        <v>2.6068380000000002</v>
      </c>
      <c r="J84">
        <v>11.56695</v>
      </c>
      <c r="K84">
        <v>229.8922</v>
      </c>
      <c r="L84">
        <v>359.34280000000001</v>
      </c>
    </row>
    <row r="85" spans="1:12" x14ac:dyDescent="0.2">
      <c r="A85" s="1">
        <v>42958.644444444442</v>
      </c>
      <c r="B85">
        <v>2149.81</v>
      </c>
      <c r="C85">
        <v>27</v>
      </c>
      <c r="D85" t="s">
        <v>36</v>
      </c>
      <c r="E85" t="s">
        <v>5</v>
      </c>
      <c r="F85" t="s">
        <v>2</v>
      </c>
      <c r="G85">
        <v>1.350476</v>
      </c>
      <c r="H85">
        <v>1.8835839999999999</v>
      </c>
      <c r="I85">
        <v>-4.1143340000000004</v>
      </c>
      <c r="J85">
        <v>14.221439999999999</v>
      </c>
      <c r="K85">
        <v>41.085189999999997</v>
      </c>
      <c r="L85">
        <v>354.82429999999999</v>
      </c>
    </row>
    <row r="86" spans="1:12" x14ac:dyDescent="0.2">
      <c r="A86" s="1">
        <v>42958.644467592596</v>
      </c>
      <c r="B86">
        <v>2152.3240000000001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1.8907959999999999</v>
      </c>
      <c r="I86">
        <v>-4.117</v>
      </c>
      <c r="J86">
        <v>14.871079999999999</v>
      </c>
      <c r="K86">
        <v>8.5875240000000002</v>
      </c>
      <c r="L86">
        <v>354.24720000000002</v>
      </c>
    </row>
    <row r="87" spans="1:12" x14ac:dyDescent="0.2">
      <c r="A87" s="1">
        <v>42958.644490740742</v>
      </c>
      <c r="B87">
        <v>2154.1460000000002</v>
      </c>
      <c r="C87">
        <v>28</v>
      </c>
      <c r="D87" t="s">
        <v>35</v>
      </c>
      <c r="E87" t="s">
        <v>0</v>
      </c>
      <c r="F87" t="s">
        <v>1</v>
      </c>
      <c r="G87">
        <v>-0.7755708</v>
      </c>
      <c r="H87">
        <v>1.888174</v>
      </c>
      <c r="I87">
        <v>-3.9525589999999999</v>
      </c>
      <c r="J87">
        <v>11.83952</v>
      </c>
      <c r="K87">
        <v>267.32639999999998</v>
      </c>
      <c r="L87">
        <v>0.98046809999999995</v>
      </c>
    </row>
    <row r="88" spans="1:12" x14ac:dyDescent="0.2">
      <c r="A88" s="1">
        <v>42958.644733796296</v>
      </c>
      <c r="B88">
        <v>2174.741</v>
      </c>
      <c r="C88">
        <v>28</v>
      </c>
      <c r="D88" t="s">
        <v>36</v>
      </c>
      <c r="E88" t="s">
        <v>0</v>
      </c>
      <c r="F88" t="s">
        <v>1</v>
      </c>
      <c r="G88">
        <v>-2.8216209999999999</v>
      </c>
      <c r="H88">
        <v>1.892088</v>
      </c>
      <c r="I88">
        <v>4.6706830000000004</v>
      </c>
      <c r="J88">
        <v>21.254200000000001</v>
      </c>
      <c r="K88">
        <v>300.76620000000003</v>
      </c>
      <c r="L88">
        <v>355.30739999999997</v>
      </c>
    </row>
    <row r="89" spans="1:12" x14ac:dyDescent="0.2">
      <c r="A89" s="1">
        <v>42958.644745370373</v>
      </c>
      <c r="B89">
        <v>2175.8040000000001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1.8933869999999999</v>
      </c>
      <c r="I89">
        <v>-1.4059999999999999</v>
      </c>
      <c r="J89">
        <v>20.110469999999999</v>
      </c>
      <c r="K89">
        <v>302.8304</v>
      </c>
      <c r="L89">
        <v>356.62200000000001</v>
      </c>
    </row>
    <row r="90" spans="1:12" x14ac:dyDescent="0.2">
      <c r="A90" s="1">
        <v>42958.644791666666</v>
      </c>
      <c r="B90">
        <v>2180.241</v>
      </c>
      <c r="C90">
        <v>29</v>
      </c>
      <c r="D90" t="s">
        <v>35</v>
      </c>
      <c r="E90" t="s">
        <v>33</v>
      </c>
      <c r="F90" t="s">
        <v>3</v>
      </c>
      <c r="G90">
        <v>-3.943743</v>
      </c>
      <c r="H90">
        <v>1.8975740000000001</v>
      </c>
      <c r="I90">
        <v>-1.4582679999999999</v>
      </c>
      <c r="J90">
        <v>17.461459999999999</v>
      </c>
      <c r="K90">
        <v>23.08135</v>
      </c>
      <c r="L90">
        <v>356.05329999999998</v>
      </c>
    </row>
    <row r="91" spans="1:12" x14ac:dyDescent="0.2">
      <c r="A91" s="1">
        <v>42958.645011574074</v>
      </c>
      <c r="B91">
        <v>2199.2660000000001</v>
      </c>
      <c r="C91">
        <v>29</v>
      </c>
      <c r="D91" t="s">
        <v>36</v>
      </c>
      <c r="E91" t="s">
        <v>33</v>
      </c>
      <c r="F91" t="s">
        <v>3</v>
      </c>
      <c r="G91">
        <v>2.2985929999999999</v>
      </c>
      <c r="H91">
        <v>1.9009259999999999</v>
      </c>
      <c r="I91">
        <v>3.1882920000000001</v>
      </c>
      <c r="J91">
        <v>14.163919999999999</v>
      </c>
      <c r="K91">
        <v>326.34530000000001</v>
      </c>
      <c r="L91">
        <v>356.36559999999997</v>
      </c>
    </row>
    <row r="92" spans="1:12" x14ac:dyDescent="0.2">
      <c r="A92" s="1">
        <v>42958.64503472222</v>
      </c>
      <c r="B92">
        <v>2201.1039999999998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1.901108</v>
      </c>
      <c r="I92">
        <v>0.09</v>
      </c>
      <c r="J92">
        <v>16.207350000000002</v>
      </c>
      <c r="K92">
        <v>337.94580000000002</v>
      </c>
      <c r="L92">
        <v>354.56580000000002</v>
      </c>
    </row>
    <row r="93" spans="1:12" x14ac:dyDescent="0.2">
      <c r="A93" s="1">
        <v>42958.645069444443</v>
      </c>
      <c r="B93">
        <v>2203.922</v>
      </c>
      <c r="C93">
        <v>30</v>
      </c>
      <c r="D93" t="s">
        <v>35</v>
      </c>
      <c r="E93" t="s">
        <v>6</v>
      </c>
      <c r="F93" t="s">
        <v>33</v>
      </c>
      <c r="G93">
        <v>-4.1434160000000002</v>
      </c>
      <c r="H93">
        <v>1.89815</v>
      </c>
      <c r="I93">
        <v>-2.3323150000000002E-3</v>
      </c>
      <c r="J93">
        <v>14.79255</v>
      </c>
      <c r="K93">
        <v>30.13597</v>
      </c>
      <c r="L93">
        <v>353.70870000000002</v>
      </c>
    </row>
    <row r="94" spans="1:12" x14ac:dyDescent="0.2">
      <c r="A94" s="1">
        <v>42958.645196759258</v>
      </c>
      <c r="B94">
        <v>2215.462</v>
      </c>
      <c r="C94">
        <v>30</v>
      </c>
      <c r="D94" t="s">
        <v>36</v>
      </c>
      <c r="E94" t="s">
        <v>6</v>
      </c>
      <c r="F94" t="s">
        <v>33</v>
      </c>
      <c r="G94">
        <v>-5.5999679999999996</v>
      </c>
      <c r="H94">
        <v>1.8999090000000001</v>
      </c>
      <c r="I94">
        <v>-3.3876599999999999</v>
      </c>
      <c r="J94">
        <v>10.451269999999999</v>
      </c>
      <c r="K94">
        <v>285.98869999999999</v>
      </c>
      <c r="L94">
        <v>356.62400000000002</v>
      </c>
    </row>
    <row r="95" spans="1:12" x14ac:dyDescent="0.2">
      <c r="A95" s="1">
        <v>42958.645219907405</v>
      </c>
      <c r="B95">
        <v>2217.5369999999998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1.887472</v>
      </c>
      <c r="I95">
        <v>-4.3440000000000003</v>
      </c>
      <c r="J95">
        <v>13.60595</v>
      </c>
      <c r="K95">
        <v>273.85750000000002</v>
      </c>
      <c r="L95">
        <v>355.7552</v>
      </c>
    </row>
    <row r="96" spans="1:12" x14ac:dyDescent="0.2">
      <c r="A96" s="1">
        <v>42958.645254629628</v>
      </c>
      <c r="B96">
        <v>2219.9659999999999</v>
      </c>
      <c r="C96">
        <v>31</v>
      </c>
      <c r="D96" t="s">
        <v>35</v>
      </c>
      <c r="E96" t="s">
        <v>2</v>
      </c>
      <c r="F96" t="s">
        <v>0</v>
      </c>
      <c r="G96">
        <v>3.621273</v>
      </c>
      <c r="H96">
        <v>1.8877759999999999</v>
      </c>
      <c r="I96">
        <v>-4.3912940000000003</v>
      </c>
      <c r="J96">
        <v>14.4282</v>
      </c>
      <c r="K96">
        <v>226.2105</v>
      </c>
      <c r="L96">
        <v>353.80939999999998</v>
      </c>
    </row>
    <row r="97" spans="1:12" x14ac:dyDescent="0.2">
      <c r="A97" s="1">
        <v>42958.645462962966</v>
      </c>
      <c r="B97">
        <v>2238.1680000000001</v>
      </c>
      <c r="C97">
        <v>31</v>
      </c>
      <c r="D97" t="s">
        <v>36</v>
      </c>
      <c r="E97" t="s">
        <v>2</v>
      </c>
      <c r="F97" t="s">
        <v>0</v>
      </c>
      <c r="G97">
        <v>-1.450305</v>
      </c>
      <c r="H97">
        <v>1.8946419999999999</v>
      </c>
      <c r="I97">
        <v>-3.4880960000000001</v>
      </c>
      <c r="J97">
        <v>12.436349999999999</v>
      </c>
      <c r="K97">
        <v>92.929069999999996</v>
      </c>
      <c r="L97">
        <v>356.96910000000003</v>
      </c>
    </row>
    <row r="98" spans="1:12" x14ac:dyDescent="0.2">
      <c r="A98" s="1">
        <v>42958.645520833335</v>
      </c>
      <c r="B98">
        <v>2243.0590000000002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1.8946860000000001</v>
      </c>
      <c r="I98">
        <v>1.8169999999999999</v>
      </c>
      <c r="J98">
        <v>12.309430000000001</v>
      </c>
      <c r="K98">
        <v>102.6069</v>
      </c>
      <c r="L98">
        <v>351.86680000000001</v>
      </c>
    </row>
    <row r="99" spans="1:12" x14ac:dyDescent="0.2">
      <c r="A99" s="1">
        <v>42958.645578703705</v>
      </c>
      <c r="B99">
        <v>2248.5239999999999</v>
      </c>
      <c r="C99">
        <v>32</v>
      </c>
      <c r="D99" t="s">
        <v>35</v>
      </c>
      <c r="E99" t="s">
        <v>3</v>
      </c>
      <c r="F99" t="s">
        <v>4</v>
      </c>
      <c r="G99">
        <v>3.4690650000000001</v>
      </c>
      <c r="H99">
        <v>1.887499</v>
      </c>
      <c r="I99">
        <v>1.69024</v>
      </c>
      <c r="J99">
        <v>20.605260000000001</v>
      </c>
      <c r="K99">
        <v>182.1251</v>
      </c>
      <c r="L99">
        <v>357.41469999999998</v>
      </c>
    </row>
    <row r="100" spans="1:12" x14ac:dyDescent="0.2">
      <c r="A100" s="1">
        <v>42958.64570601852</v>
      </c>
      <c r="B100">
        <v>2259.002</v>
      </c>
      <c r="C100">
        <v>32</v>
      </c>
      <c r="D100" t="s">
        <v>36</v>
      </c>
      <c r="E100" t="s">
        <v>3</v>
      </c>
      <c r="F100" t="s">
        <v>4</v>
      </c>
      <c r="G100">
        <v>5.0643969999999996</v>
      </c>
      <c r="H100">
        <v>1.8993500000000001</v>
      </c>
      <c r="I100">
        <v>-0.5897559</v>
      </c>
      <c r="J100">
        <v>12.25102</v>
      </c>
      <c r="K100">
        <v>125.4046</v>
      </c>
      <c r="L100">
        <v>353.16489999999999</v>
      </c>
    </row>
    <row r="101" spans="1:12" x14ac:dyDescent="0.2">
      <c r="A101" s="1">
        <v>42958.64571759259</v>
      </c>
      <c r="B101">
        <v>2260.42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1.8774729999999999</v>
      </c>
      <c r="I101">
        <v>0.09</v>
      </c>
      <c r="J101">
        <v>20.921479999999999</v>
      </c>
      <c r="K101">
        <v>122.4637</v>
      </c>
      <c r="L101">
        <v>358.0643</v>
      </c>
    </row>
    <row r="102" spans="1:12" x14ac:dyDescent="0.2">
      <c r="A102" s="1">
        <v>42958.645752314813</v>
      </c>
      <c r="B102">
        <v>2262.63</v>
      </c>
      <c r="C102">
        <v>33</v>
      </c>
      <c r="D102" t="s">
        <v>35</v>
      </c>
      <c r="E102" t="s">
        <v>6</v>
      </c>
      <c r="F102" t="s">
        <v>33</v>
      </c>
      <c r="G102">
        <v>-4.0466420000000003</v>
      </c>
      <c r="H102">
        <v>1.8879859999999999</v>
      </c>
      <c r="I102">
        <v>2.3927540000000001E-2</v>
      </c>
      <c r="J102">
        <v>17.502849999999999</v>
      </c>
      <c r="K102">
        <v>81.361040000000003</v>
      </c>
      <c r="L102">
        <v>354.73180000000002</v>
      </c>
    </row>
    <row r="103" spans="1:12" x14ac:dyDescent="0.2">
      <c r="A103" s="1">
        <v>42958.645856481482</v>
      </c>
      <c r="B103">
        <v>2271.9450000000002</v>
      </c>
      <c r="C103">
        <v>33</v>
      </c>
      <c r="D103" t="s">
        <v>36</v>
      </c>
      <c r="E103" t="s">
        <v>6</v>
      </c>
      <c r="F103" t="s">
        <v>33</v>
      </c>
      <c r="G103">
        <v>-4.2284610000000002</v>
      </c>
      <c r="H103">
        <v>1.9012579999999999</v>
      </c>
      <c r="I103">
        <v>-2.320481</v>
      </c>
      <c r="J103">
        <v>8.8176570000000005</v>
      </c>
      <c r="K103">
        <v>325.42009999999999</v>
      </c>
      <c r="L103">
        <v>354.57190000000003</v>
      </c>
    </row>
    <row r="104" spans="1:12" x14ac:dyDescent="0.2">
      <c r="A104" s="1">
        <v>42958.645868055559</v>
      </c>
      <c r="B104">
        <v>2273.549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1.894123</v>
      </c>
      <c r="I104">
        <v>-0.67300000000000004</v>
      </c>
      <c r="J104">
        <v>12.9405</v>
      </c>
      <c r="K104">
        <v>321.9622</v>
      </c>
      <c r="L104">
        <v>356.69740000000002</v>
      </c>
    </row>
    <row r="105" spans="1:12" x14ac:dyDescent="0.2">
      <c r="A105" s="1">
        <v>42958.645914351851</v>
      </c>
      <c r="B105">
        <v>2277.2109999999998</v>
      </c>
      <c r="C105">
        <v>34</v>
      </c>
      <c r="D105" t="s">
        <v>35</v>
      </c>
      <c r="E105" t="s">
        <v>4</v>
      </c>
      <c r="F105" t="s">
        <v>6</v>
      </c>
      <c r="G105">
        <v>3.870927</v>
      </c>
      <c r="H105">
        <v>1.8874070000000001</v>
      </c>
      <c r="I105">
        <v>-0.63988800000000001</v>
      </c>
      <c r="J105">
        <v>16.147300000000001</v>
      </c>
      <c r="K105">
        <v>133.99700000000001</v>
      </c>
      <c r="L105">
        <v>359.64830000000001</v>
      </c>
    </row>
    <row r="106" spans="1:12" x14ac:dyDescent="0.2">
      <c r="A106" s="1">
        <v>42958.646134259259</v>
      </c>
      <c r="B106">
        <v>2295.9270000000001</v>
      </c>
      <c r="C106">
        <v>34</v>
      </c>
      <c r="D106" t="s">
        <v>36</v>
      </c>
      <c r="E106" t="s">
        <v>4</v>
      </c>
      <c r="F106" t="s">
        <v>6</v>
      </c>
      <c r="G106">
        <v>-3.6381160000000001</v>
      </c>
      <c r="H106">
        <v>1.912086</v>
      </c>
      <c r="I106">
        <v>-2.3716349999999999</v>
      </c>
      <c r="J106">
        <v>9.6988470000000007</v>
      </c>
      <c r="K106">
        <v>149.7183</v>
      </c>
      <c r="L106">
        <v>353.0718</v>
      </c>
    </row>
    <row r="107" spans="1:12" x14ac:dyDescent="0.2">
      <c r="A107" s="1">
        <v>42958.646145833336</v>
      </c>
      <c r="B107">
        <v>2297.16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1.9045030000000001</v>
      </c>
      <c r="I107">
        <v>2.7240000000000002</v>
      </c>
      <c r="J107">
        <v>10.2959</v>
      </c>
      <c r="K107">
        <v>155.8451</v>
      </c>
      <c r="L107">
        <v>357.19209999999998</v>
      </c>
    </row>
    <row r="108" spans="1:12" x14ac:dyDescent="0.2">
      <c r="A108" s="1">
        <v>42958.646203703705</v>
      </c>
      <c r="B108">
        <v>2301.7840000000001</v>
      </c>
      <c r="C108">
        <v>35</v>
      </c>
      <c r="D108" t="s">
        <v>35</v>
      </c>
      <c r="E108" t="s">
        <v>5</v>
      </c>
      <c r="F108" t="s">
        <v>2</v>
      </c>
      <c r="G108">
        <v>0.10176499999999999</v>
      </c>
      <c r="H108">
        <v>1.8920699999999999</v>
      </c>
      <c r="I108">
        <v>2.6998440000000001</v>
      </c>
      <c r="J108">
        <v>16.291609999999999</v>
      </c>
      <c r="K108">
        <v>21.72653</v>
      </c>
      <c r="L108">
        <v>354.49990000000003</v>
      </c>
    </row>
    <row r="109" spans="1:12" x14ac:dyDescent="0.2">
      <c r="A109" s="1">
        <v>42958.64640046296</v>
      </c>
      <c r="B109">
        <v>2319.4369999999999</v>
      </c>
      <c r="C109">
        <v>35</v>
      </c>
      <c r="D109" t="s">
        <v>36</v>
      </c>
      <c r="E109" t="s">
        <v>5</v>
      </c>
      <c r="F109" t="s">
        <v>2</v>
      </c>
      <c r="G109">
        <v>0.52559920000000004</v>
      </c>
      <c r="H109">
        <v>1.8875820000000001</v>
      </c>
      <c r="I109">
        <v>-4.8042059999999998</v>
      </c>
      <c r="J109">
        <v>15.808059999999999</v>
      </c>
      <c r="K109">
        <v>92.494900000000001</v>
      </c>
      <c r="L109">
        <v>355.58019999999999</v>
      </c>
    </row>
    <row r="110" spans="1:12" x14ac:dyDescent="0.2">
      <c r="A110" s="1">
        <v>42958.646481481483</v>
      </c>
      <c r="B110">
        <v>2326.0859999999998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1.894973</v>
      </c>
      <c r="I110">
        <v>1.8169999999999999</v>
      </c>
      <c r="J110">
        <v>13.77829</v>
      </c>
      <c r="K110">
        <v>97.049580000000006</v>
      </c>
      <c r="L110">
        <v>353.05529999999999</v>
      </c>
    </row>
    <row r="111" spans="1:12" x14ac:dyDescent="0.2">
      <c r="A111" s="1">
        <v>42958.646527777775</v>
      </c>
      <c r="B111">
        <v>2330.2539999999999</v>
      </c>
      <c r="C111">
        <v>36</v>
      </c>
      <c r="D111" t="s">
        <v>35</v>
      </c>
      <c r="E111" t="s">
        <v>3</v>
      </c>
      <c r="F111" t="s">
        <v>4</v>
      </c>
      <c r="G111">
        <v>3.397491</v>
      </c>
      <c r="H111">
        <v>1.875205</v>
      </c>
      <c r="I111">
        <v>2.0074930000000002</v>
      </c>
      <c r="J111">
        <v>18.967490000000002</v>
      </c>
      <c r="K111">
        <v>292.06189999999998</v>
      </c>
      <c r="L111">
        <v>357.58159999999998</v>
      </c>
    </row>
    <row r="112" spans="1:12" x14ac:dyDescent="0.2">
      <c r="A112" s="1">
        <v>42958.646655092591</v>
      </c>
      <c r="B112">
        <v>2341.4929999999999</v>
      </c>
      <c r="C112">
        <v>36</v>
      </c>
      <c r="D112" t="s">
        <v>36</v>
      </c>
      <c r="E112" t="s">
        <v>3</v>
      </c>
      <c r="F112" t="s">
        <v>4</v>
      </c>
      <c r="G112">
        <v>4.5542660000000001</v>
      </c>
      <c r="H112">
        <v>1.909395</v>
      </c>
      <c r="I112">
        <v>-1.3069219999999999</v>
      </c>
      <c r="J112">
        <v>7.4628079999999999</v>
      </c>
      <c r="K112">
        <v>242.75810000000001</v>
      </c>
      <c r="L112">
        <v>354.08359999999999</v>
      </c>
    </row>
    <row r="113" spans="1:12" x14ac:dyDescent="0.2">
      <c r="A113" s="1">
        <v>42958.646678240744</v>
      </c>
      <c r="B113">
        <v>2342.7080000000001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1.89598</v>
      </c>
      <c r="I113">
        <v>0.09</v>
      </c>
      <c r="J113">
        <v>15.025</v>
      </c>
      <c r="K113">
        <v>230.24119999999999</v>
      </c>
      <c r="L113">
        <v>355.82740000000001</v>
      </c>
    </row>
    <row r="114" spans="1:12" x14ac:dyDescent="0.2">
      <c r="A114" s="1">
        <v>42958.646701388891</v>
      </c>
      <c r="B114">
        <v>2344.8690000000001</v>
      </c>
      <c r="C114">
        <v>37</v>
      </c>
      <c r="D114" t="s">
        <v>35</v>
      </c>
      <c r="E114" t="s">
        <v>6</v>
      </c>
      <c r="F114" t="s">
        <v>33</v>
      </c>
      <c r="G114">
        <v>-4.166258</v>
      </c>
      <c r="H114">
        <v>1.8808020000000001</v>
      </c>
      <c r="I114">
        <v>4.8832269999999997E-2</v>
      </c>
      <c r="J114">
        <v>13.2605</v>
      </c>
      <c r="K114">
        <v>212.34899999999999</v>
      </c>
      <c r="L114">
        <v>350.18239999999997</v>
      </c>
    </row>
    <row r="115" spans="1:12" x14ac:dyDescent="0.2">
      <c r="A115" s="1">
        <v>42958.646828703706</v>
      </c>
      <c r="B115">
        <v>2355.9560000000001</v>
      </c>
      <c r="C115">
        <v>37</v>
      </c>
      <c r="D115" t="s">
        <v>36</v>
      </c>
      <c r="E115" t="s">
        <v>6</v>
      </c>
      <c r="F115" t="s">
        <v>33</v>
      </c>
      <c r="G115">
        <v>-7.1819410000000001</v>
      </c>
      <c r="H115">
        <v>1.8919999999999999</v>
      </c>
      <c r="I115">
        <v>-2.27529</v>
      </c>
      <c r="J115">
        <v>13.020479999999999</v>
      </c>
      <c r="K115">
        <v>169.70359999999999</v>
      </c>
      <c r="L115">
        <v>354.27179999999998</v>
      </c>
    </row>
    <row r="116" spans="1:12" x14ac:dyDescent="0.2">
      <c r="A116" s="1">
        <v>42958.646851851852</v>
      </c>
      <c r="B116">
        <v>2357.5929999999998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1.8746719999999999</v>
      </c>
      <c r="I116">
        <v>-4.3440000000000003</v>
      </c>
      <c r="J116">
        <v>21.36891</v>
      </c>
      <c r="K116">
        <v>157.666</v>
      </c>
      <c r="L116">
        <v>357.99459999999999</v>
      </c>
    </row>
    <row r="117" spans="1:12" x14ac:dyDescent="0.2">
      <c r="A117" s="1">
        <v>42958.646898148145</v>
      </c>
      <c r="B117">
        <v>2362.319</v>
      </c>
      <c r="C117">
        <v>38</v>
      </c>
      <c r="D117" t="s">
        <v>35</v>
      </c>
      <c r="E117" t="s">
        <v>2</v>
      </c>
      <c r="F117" t="s">
        <v>0</v>
      </c>
      <c r="G117">
        <v>3.5751620000000002</v>
      </c>
      <c r="H117">
        <v>1.8853679999999999</v>
      </c>
      <c r="I117">
        <v>-4.1635039999999996</v>
      </c>
      <c r="J117">
        <v>13.21556</v>
      </c>
      <c r="K117">
        <v>278.75060000000002</v>
      </c>
      <c r="L117">
        <v>355.92959999999999</v>
      </c>
    </row>
    <row r="118" spans="1:12" x14ac:dyDescent="0.2">
      <c r="A118" s="1">
        <v>42958.647210648145</v>
      </c>
      <c r="B118">
        <v>2388.58</v>
      </c>
      <c r="C118">
        <v>38</v>
      </c>
      <c r="D118" t="s">
        <v>36</v>
      </c>
      <c r="E118" t="s">
        <v>2</v>
      </c>
      <c r="F118" t="s">
        <v>0</v>
      </c>
      <c r="G118">
        <v>-0.90155339999999995</v>
      </c>
      <c r="H118">
        <v>1.8839170000000001</v>
      </c>
      <c r="I118">
        <v>-5.2182880000000003</v>
      </c>
      <c r="J118">
        <v>14.0099</v>
      </c>
      <c r="K118">
        <v>24.30124</v>
      </c>
      <c r="L118">
        <v>352.78190000000001</v>
      </c>
    </row>
    <row r="119" spans="1:12" x14ac:dyDescent="0.2">
      <c r="A119" s="1">
        <v>42958.647256944445</v>
      </c>
      <c r="B119">
        <v>2393.0520000000001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1.8521460000000001</v>
      </c>
      <c r="I119">
        <v>4.1399999999999997</v>
      </c>
      <c r="J119">
        <v>21.12013</v>
      </c>
      <c r="K119">
        <v>25.210889999999999</v>
      </c>
      <c r="L119">
        <v>350.83589999999998</v>
      </c>
    </row>
    <row r="120" spans="1:12" x14ac:dyDescent="0.2">
      <c r="A120" s="1">
        <v>42958.647314814814</v>
      </c>
      <c r="B120">
        <v>2397.5569999999998</v>
      </c>
      <c r="C120">
        <v>39</v>
      </c>
      <c r="D120" t="s">
        <v>35</v>
      </c>
      <c r="E120" t="s">
        <v>1</v>
      </c>
      <c r="F120" t="s">
        <v>5</v>
      </c>
      <c r="G120">
        <v>-3.7529309999999998</v>
      </c>
      <c r="H120">
        <v>1.8938390000000001</v>
      </c>
      <c r="I120">
        <v>4.0191860000000004</v>
      </c>
      <c r="J120">
        <v>11.129479999999999</v>
      </c>
      <c r="K120">
        <v>225.67619999999999</v>
      </c>
      <c r="L120">
        <v>356.58760000000001</v>
      </c>
    </row>
    <row r="121" spans="1:12" x14ac:dyDescent="0.2">
      <c r="A121" s="1">
        <v>42958.647465277776</v>
      </c>
      <c r="B121">
        <v>2410.415</v>
      </c>
      <c r="C121">
        <v>39</v>
      </c>
      <c r="D121" t="s">
        <v>36</v>
      </c>
      <c r="E121" t="s">
        <v>1</v>
      </c>
      <c r="F121" t="s">
        <v>5</v>
      </c>
      <c r="G121">
        <v>1.0532060000000001</v>
      </c>
      <c r="H121">
        <v>1.9061490000000001</v>
      </c>
      <c r="I121">
        <v>1.5393539999999999</v>
      </c>
      <c r="J121">
        <v>9.7036090000000002</v>
      </c>
      <c r="K121">
        <v>87.765829999999994</v>
      </c>
      <c r="L121">
        <v>353.34300000000002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-4.4477010000000003</v>
      </c>
      <c r="G2" s="3">
        <f>VLOOKUP($A2,'Summary Data (40)'!$C$2:$L$249,6,1)</f>
        <v>1.9044110000000001</v>
      </c>
      <c r="H2" s="3">
        <f>VLOOKUP($A2,'Summary Data (40)'!$C$2:$L$249,7,1)</f>
        <v>3.2821349999999998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8.2274328458897781</v>
      </c>
      <c r="N2" s="3">
        <f t="shared" ref="N2:N41" si="1">ABS(SQRT((F2-C2)^2+(H2-E2)^2))</f>
        <v>11.026262678515598</v>
      </c>
      <c r="O2" s="3">
        <f t="shared" ref="O2:O41" si="2">ABS(SQRT((J2-C2)^2+(L2-E2)^2))</f>
        <v>4.3718971854333439</v>
      </c>
      <c r="P2" s="3">
        <f t="shared" ref="P2:P41" si="3">(N2-O2)</f>
        <v>6.6543654930822544</v>
      </c>
      <c r="Q2" s="5">
        <f t="shared" ref="Q2:Q41" si="4">P2/O2</f>
        <v>1.5220773066790845</v>
      </c>
      <c r="R2" s="3">
        <f t="shared" ref="R2:R41" si="5">ATAN2(J2-C2,L2-E2)*180/PI()</f>
        <v>177.02371934116897</v>
      </c>
      <c r="S2" s="3">
        <f t="shared" ref="S2:S41" si="6">ATAN2(F2-C2,H2-E2)*180/PI()</f>
        <v>136.2404290373419</v>
      </c>
      <c r="T2" s="3">
        <f t="shared" ref="T2:T41" si="7">IF(ABS(R2-S2)&gt;180,360-ABS(R2-S2),ABS(R2-S2))</f>
        <v>40.783290303827073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0.93834709999999999</v>
      </c>
      <c r="G3" s="3">
        <f>VLOOKUP($A3,'Summary Data (40)'!$C$2:$L$249,6,1)</f>
        <v>1.861102</v>
      </c>
      <c r="H3" s="3">
        <f>VLOOKUP($A3,'Summary Data (40)'!$C$2:$L$249,7,1)</f>
        <v>-2.8368000000000002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2.9859581900754084</v>
      </c>
      <c r="N3" s="3">
        <f t="shared" si="1"/>
        <v>5.6367739721296628</v>
      </c>
      <c r="O3" s="3">
        <f t="shared" si="2"/>
        <v>7.8871175977032326</v>
      </c>
      <c r="P3" s="3">
        <f t="shared" si="3"/>
        <v>-2.2503436255735698</v>
      </c>
      <c r="Q3" s="5">
        <f t="shared" si="4"/>
        <v>-0.2853188883894518</v>
      </c>
      <c r="R3" s="3">
        <f t="shared" si="5"/>
        <v>-63.65586590726528</v>
      </c>
      <c r="S3" s="3">
        <f t="shared" si="6"/>
        <v>-80.582324083054544</v>
      </c>
      <c r="T3" s="3">
        <f t="shared" si="7"/>
        <v>16.926458175789264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4.5523509999999998</v>
      </c>
      <c r="G4" s="3">
        <f>VLOOKUP($A4,'Summary Data (40)'!$C$2:$L$249,6,1)</f>
        <v>1.896973</v>
      </c>
      <c r="H4" s="3">
        <f>VLOOKUP($A4,'Summary Data (40)'!$C$2:$L$249,7,1)</f>
        <v>-0.78185590000000005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2.8539307577735324</v>
      </c>
      <c r="N4" s="3">
        <f t="shared" si="1"/>
        <v>8.5561460451984921</v>
      </c>
      <c r="O4" s="3">
        <f t="shared" si="2"/>
        <v>8.0292617967033557</v>
      </c>
      <c r="P4" s="3">
        <f t="shared" si="3"/>
        <v>0.52688424849513638</v>
      </c>
      <c r="Q4" s="5">
        <f t="shared" si="4"/>
        <v>6.5620509311511532E-2</v>
      </c>
      <c r="R4" s="3">
        <f t="shared" si="5"/>
        <v>23.666151625811782</v>
      </c>
      <c r="S4" s="3">
        <f t="shared" si="6"/>
        <v>4.183263596985638</v>
      </c>
      <c r="T4" s="3">
        <f t="shared" si="7"/>
        <v>19.482888028826146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-2.168917</v>
      </c>
      <c r="G5" s="3">
        <f>VLOOKUP($A5,'Summary Data (40)'!$C$2:$L$249,6,1)</f>
        <v>1.899791</v>
      </c>
      <c r="H5" s="3">
        <f>VLOOKUP($A5,'Summary Data (40)'!$C$2:$L$249,7,1)</f>
        <v>1.6036440000000001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3.1751407568208685</v>
      </c>
      <c r="N5" s="3">
        <f t="shared" si="1"/>
        <v>5.8707162959578447</v>
      </c>
      <c r="O5" s="3">
        <f t="shared" si="2"/>
        <v>8.8659173242253964</v>
      </c>
      <c r="P5" s="3">
        <f t="shared" si="3"/>
        <v>-2.9952010282675516</v>
      </c>
      <c r="Q5" s="5">
        <f t="shared" si="4"/>
        <v>-0.33783317830896176</v>
      </c>
      <c r="R5" s="3">
        <f t="shared" si="5"/>
        <v>111.35858600069317</v>
      </c>
      <c r="S5" s="3">
        <f t="shared" si="6"/>
        <v>102.98290455096662</v>
      </c>
      <c r="T5" s="3">
        <f t="shared" si="7"/>
        <v>8.3756814497265424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-3.6091959999999998</v>
      </c>
      <c r="G6" s="3">
        <f>VLOOKUP($A6,'Summary Data (40)'!$C$2:$L$249,6,1)</f>
        <v>1.895014</v>
      </c>
      <c r="H6" s="3">
        <f>VLOOKUP($A6,'Summary Data (40)'!$C$2:$L$249,7,1)</f>
        <v>1.977581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7.9802418046057353</v>
      </c>
      <c r="N6" s="3">
        <f t="shared" si="1"/>
        <v>6.9840423280487789</v>
      </c>
      <c r="O6" s="3">
        <f t="shared" si="2"/>
        <v>2.5489458605470614</v>
      </c>
      <c r="P6" s="3">
        <f t="shared" si="3"/>
        <v>4.435096467501717</v>
      </c>
      <c r="Q6" s="5">
        <f t="shared" si="4"/>
        <v>1.7399728005795483</v>
      </c>
      <c r="R6" s="3">
        <f t="shared" si="5"/>
        <v>-77.654050540796021</v>
      </c>
      <c r="S6" s="3">
        <f t="shared" si="6"/>
        <v>178.68250735128882</v>
      </c>
      <c r="T6" s="3">
        <f t="shared" si="7"/>
        <v>103.66344210791516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-3.6890689999999999</v>
      </c>
      <c r="G7" s="3">
        <f>VLOOKUP($A7,'Summary Data (40)'!$C$2:$L$249,6,1)</f>
        <v>1.8984399999999999</v>
      </c>
      <c r="H7" s="3">
        <f>VLOOKUP($A7,'Summary Data (40)'!$C$2:$L$249,7,1)</f>
        <v>5.5478009999999998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10.073166888142081</v>
      </c>
      <c r="N7" s="3">
        <f t="shared" si="1"/>
        <v>12.237677325308182</v>
      </c>
      <c r="O7" s="3">
        <f t="shared" si="2"/>
        <v>4.3718971854333439</v>
      </c>
      <c r="P7" s="3">
        <f t="shared" si="3"/>
        <v>7.8657801398748379</v>
      </c>
      <c r="Q7" s="5">
        <f t="shared" si="4"/>
        <v>1.7991686003236096</v>
      </c>
      <c r="R7" s="3">
        <f t="shared" si="5"/>
        <v>177.02371934116897</v>
      </c>
      <c r="S7" s="3">
        <f t="shared" si="6"/>
        <v>126.06914499065924</v>
      </c>
      <c r="T7" s="3">
        <f t="shared" si="7"/>
        <v>50.954574350509731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-8.4574400000000001</v>
      </c>
      <c r="G8" s="3">
        <f>VLOOKUP($A8,'Summary Data (40)'!$C$2:$L$249,6,1)</f>
        <v>1.893384</v>
      </c>
      <c r="H8" s="3">
        <f>VLOOKUP($A8,'Summary Data (40)'!$C$2:$L$249,7,1)</f>
        <v>-4.4872779999999999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5.4344078966235134</v>
      </c>
      <c r="N8" s="3">
        <f t="shared" si="1"/>
        <v>6.3128209576134822</v>
      </c>
      <c r="O8" s="3">
        <f t="shared" si="2"/>
        <v>1.5015515309172709</v>
      </c>
      <c r="P8" s="3">
        <f t="shared" si="3"/>
        <v>4.811269426696211</v>
      </c>
      <c r="Q8" s="5">
        <f t="shared" si="4"/>
        <v>3.2041986755906358</v>
      </c>
      <c r="R8" s="3">
        <f t="shared" si="5"/>
        <v>-85.071579131103505</v>
      </c>
      <c r="S8" s="3">
        <f t="shared" si="6"/>
        <v>-133.52478954622964</v>
      </c>
      <c r="T8" s="3">
        <f t="shared" si="7"/>
        <v>48.453210415126136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0.3958721</v>
      </c>
      <c r="G9" s="3">
        <f>VLOOKUP($A9,'Summary Data (40)'!$C$2:$L$249,6,1)</f>
        <v>1.902647</v>
      </c>
      <c r="H9" s="3">
        <f>VLOOKUP($A9,'Summary Data (40)'!$C$2:$L$249,7,1)</f>
        <v>2.0280450000000001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4.948215257381535</v>
      </c>
      <c r="N9" s="3">
        <f t="shared" si="1"/>
        <v>6.2700698035654598</v>
      </c>
      <c r="O9" s="3">
        <f t="shared" si="2"/>
        <v>8.8659173242253964</v>
      </c>
      <c r="P9" s="3">
        <f t="shared" si="3"/>
        <v>-2.5958475206599365</v>
      </c>
      <c r="Q9" s="5">
        <f t="shared" si="4"/>
        <v>-0.29278950228500267</v>
      </c>
      <c r="R9" s="3">
        <f t="shared" si="5"/>
        <v>111.35858600069317</v>
      </c>
      <c r="S9" s="3">
        <f t="shared" si="6"/>
        <v>78.538965076079009</v>
      </c>
      <c r="T9" s="3">
        <f t="shared" si="7"/>
        <v>32.819620924614156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0.20093730000000001</v>
      </c>
      <c r="G10" s="3">
        <f>VLOOKUP($A10,'Summary Data (40)'!$C$2:$L$249,6,1)</f>
        <v>1.89659</v>
      </c>
      <c r="H10" s="3">
        <f>VLOOKUP($A10,'Summary Data (40)'!$C$2:$L$249,7,1)</f>
        <v>-4.491892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3.3183599486184874</v>
      </c>
      <c r="N10" s="3">
        <f t="shared" si="1"/>
        <v>7.218261505417721</v>
      </c>
      <c r="O10" s="3">
        <f t="shared" si="2"/>
        <v>7.8871175977032326</v>
      </c>
      <c r="P10" s="3">
        <f t="shared" si="3"/>
        <v>-0.66885609228551157</v>
      </c>
      <c r="Q10" s="5">
        <f t="shared" si="4"/>
        <v>-8.4803616023207989E-2</v>
      </c>
      <c r="R10" s="3">
        <f t="shared" si="5"/>
        <v>-63.65586590726528</v>
      </c>
      <c r="S10" s="3">
        <f t="shared" si="6"/>
        <v>-88.531878298385564</v>
      </c>
      <c r="T10" s="3">
        <f t="shared" si="7"/>
        <v>24.876012391120284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-0.16891339999999999</v>
      </c>
      <c r="G11" s="3">
        <f>VLOOKUP($A11,'Summary Data (40)'!$C$2:$L$249,6,1)</f>
        <v>1.8887929999999999</v>
      </c>
      <c r="H11" s="3">
        <f>VLOOKUP($A11,'Summary Data (40)'!$C$2:$L$249,7,1)</f>
        <v>2.8095379999999999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5.6835521353589744</v>
      </c>
      <c r="N11" s="3">
        <f t="shared" si="1"/>
        <v>4.7883243960850823</v>
      </c>
      <c r="O11" s="3">
        <f t="shared" si="2"/>
        <v>1.5015515309172709</v>
      </c>
      <c r="P11" s="3">
        <f t="shared" si="3"/>
        <v>3.2867728651678112</v>
      </c>
      <c r="Q11" s="5">
        <f t="shared" si="4"/>
        <v>2.1889177943563354</v>
      </c>
      <c r="R11" s="3">
        <f t="shared" si="5"/>
        <v>-85.071579131103505</v>
      </c>
      <c r="S11" s="3">
        <f t="shared" si="6"/>
        <v>34.607529539703705</v>
      </c>
      <c r="T11" s="3">
        <f t="shared" si="7"/>
        <v>119.67910867080721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0.97804650000000004</v>
      </c>
      <c r="G12" s="3">
        <f>VLOOKUP($A12,'Summary Data (40)'!$C$2:$L$249,6,1)</f>
        <v>1.9038189999999999</v>
      </c>
      <c r="H12" s="3">
        <f>VLOOKUP($A12,'Summary Data (40)'!$C$2:$L$249,7,1)</f>
        <v>-5.0495400000000004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7.8328447960981746</v>
      </c>
      <c r="N12" s="3">
        <f t="shared" si="1"/>
        <v>10.489106955063537</v>
      </c>
      <c r="O12" s="3">
        <f t="shared" si="2"/>
        <v>4.3329067610554466</v>
      </c>
      <c r="P12" s="3">
        <f t="shared" si="3"/>
        <v>6.1562001940080906</v>
      </c>
      <c r="Q12" s="5">
        <f t="shared" si="4"/>
        <v>1.4208014465809808</v>
      </c>
      <c r="R12" s="3">
        <f t="shared" si="5"/>
        <v>-19.074748100261683</v>
      </c>
      <c r="S12" s="3">
        <f t="shared" si="6"/>
        <v>-61.17580715394098</v>
      </c>
      <c r="T12" s="3">
        <f t="shared" si="7"/>
        <v>42.101059053679293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-1.6838329999999999</v>
      </c>
      <c r="G13" s="3">
        <f>VLOOKUP($A13,'Summary Data (40)'!$C$2:$L$249,6,1)</f>
        <v>1.8857250000000001</v>
      </c>
      <c r="H13" s="3">
        <f>VLOOKUP($A13,'Summary Data (40)'!$C$2:$L$249,7,1)</f>
        <v>0.65851159999999997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4.8477611857045471</v>
      </c>
      <c r="N13" s="3">
        <f t="shared" si="1"/>
        <v>7.2154962085793901</v>
      </c>
      <c r="O13" s="3">
        <f t="shared" si="2"/>
        <v>4.3718971854333439</v>
      </c>
      <c r="P13" s="3">
        <f t="shared" si="3"/>
        <v>2.8435990231460462</v>
      </c>
      <c r="Q13" s="5">
        <f t="shared" si="4"/>
        <v>0.65042678327857051</v>
      </c>
      <c r="R13" s="3">
        <f t="shared" si="5"/>
        <v>177.02371934116897</v>
      </c>
      <c r="S13" s="3">
        <f t="shared" si="6"/>
        <v>136.10800747239949</v>
      </c>
      <c r="T13" s="3">
        <f t="shared" si="7"/>
        <v>40.915711868769478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3.1894469999999999</v>
      </c>
      <c r="G14" s="3">
        <f>VLOOKUP($A14,'Summary Data (40)'!$C$2:$L$249,6,1)</f>
        <v>1.8970089999999999</v>
      </c>
      <c r="H14" s="3">
        <f>VLOOKUP($A14,'Summary Data (40)'!$C$2:$L$249,7,1)</f>
        <v>-1.0475030000000001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2.8703778742210928</v>
      </c>
      <c r="N14" s="3">
        <f t="shared" si="1"/>
        <v>7.1794031979558017</v>
      </c>
      <c r="O14" s="3">
        <f t="shared" si="2"/>
        <v>8.0292617967033557</v>
      </c>
      <c r="P14" s="3">
        <f t="shared" si="3"/>
        <v>-0.84985859874755398</v>
      </c>
      <c r="Q14" s="5">
        <f t="shared" si="4"/>
        <v>-0.1058451723540124</v>
      </c>
      <c r="R14" s="3">
        <f t="shared" si="5"/>
        <v>23.666151625811782</v>
      </c>
      <c r="S14" s="3">
        <f t="shared" si="6"/>
        <v>2.8622031708979989</v>
      </c>
      <c r="T14" s="3">
        <f t="shared" si="7"/>
        <v>20.803948454913783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-2.185095</v>
      </c>
      <c r="G15" s="3">
        <f>VLOOKUP($A15,'Summary Data (40)'!$C$2:$L$249,6,1)</f>
        <v>1.907513</v>
      </c>
      <c r="H15" s="3">
        <f>VLOOKUP($A15,'Summary Data (40)'!$C$2:$L$249,7,1)</f>
        <v>5.0655539999999997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6.716121346725429</v>
      </c>
      <c r="N15" s="3">
        <f t="shared" si="1"/>
        <v>5.3349223861215638</v>
      </c>
      <c r="O15" s="3">
        <f t="shared" si="2"/>
        <v>1.5015515309172709</v>
      </c>
      <c r="P15" s="3">
        <f t="shared" si="3"/>
        <v>3.8333708552042927</v>
      </c>
      <c r="Q15" s="5">
        <f t="shared" si="4"/>
        <v>2.5529399266521042</v>
      </c>
      <c r="R15" s="3">
        <f t="shared" si="5"/>
        <v>-85.071579131103505</v>
      </c>
      <c r="S15" s="3">
        <f t="shared" si="6"/>
        <v>68.849916574956808</v>
      </c>
      <c r="T15" s="3">
        <f t="shared" si="7"/>
        <v>153.92149570606031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3.760637</v>
      </c>
      <c r="G16" s="3">
        <f>VLOOKUP($A16,'Summary Data (40)'!$C$2:$L$249,6,1)</f>
        <v>1.897043</v>
      </c>
      <c r="H16" s="3">
        <f>VLOOKUP($A16,'Summary Data (40)'!$C$2:$L$249,7,1)</f>
        <v>-5.4809729999999997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9.019084664892441</v>
      </c>
      <c r="N16" s="3">
        <f t="shared" si="1"/>
        <v>12.41060150671586</v>
      </c>
      <c r="O16" s="3">
        <f t="shared" si="2"/>
        <v>4.3329067610554466</v>
      </c>
      <c r="P16" s="3">
        <f t="shared" si="3"/>
        <v>8.0776947456604127</v>
      </c>
      <c r="Q16" s="5">
        <f t="shared" si="4"/>
        <v>1.8642669208263274</v>
      </c>
      <c r="R16" s="3">
        <f t="shared" si="5"/>
        <v>-19.074748100261683</v>
      </c>
      <c r="S16" s="3">
        <f t="shared" si="6"/>
        <v>-50.825176464619325</v>
      </c>
      <c r="T16" s="3">
        <f t="shared" si="7"/>
        <v>31.750428364357642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-3.1663070000000002</v>
      </c>
      <c r="G17" s="3">
        <f>VLOOKUP($A17,'Summary Data (40)'!$C$2:$L$249,6,1)</f>
        <v>1.904355</v>
      </c>
      <c r="H17" s="3">
        <f>VLOOKUP($A17,'Summary Data (40)'!$C$2:$L$249,7,1)</f>
        <v>3.956391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3.9798914360984776</v>
      </c>
      <c r="N17" s="3">
        <f t="shared" si="1"/>
        <v>8.4627812627486723</v>
      </c>
      <c r="O17" s="3">
        <f t="shared" si="2"/>
        <v>8.0641771433916301</v>
      </c>
      <c r="P17" s="3">
        <f t="shared" si="3"/>
        <v>0.39860411935704221</v>
      </c>
      <c r="Q17" s="5">
        <f t="shared" si="4"/>
        <v>4.9428988509222824E-2</v>
      </c>
      <c r="R17" s="3">
        <f t="shared" si="5"/>
        <v>174.57078263739461</v>
      </c>
      <c r="S17" s="3">
        <f t="shared" si="6"/>
        <v>146.83653806047386</v>
      </c>
      <c r="T17" s="3">
        <f t="shared" si="7"/>
        <v>27.734244576920759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-4.8509460000000004</v>
      </c>
      <c r="G18" s="3">
        <f>VLOOKUP($A18,'Summary Data (40)'!$C$2:$L$249,6,1)</f>
        <v>1.8902829999999999</v>
      </c>
      <c r="H18" s="3">
        <f>VLOOKUP($A18,'Summary Data (40)'!$C$2:$L$249,7,1)</f>
        <v>-2.4554279999999999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8.9482659507918072</v>
      </c>
      <c r="N18" s="3">
        <f t="shared" si="1"/>
        <v>9.2675201011975172</v>
      </c>
      <c r="O18" s="3">
        <f t="shared" si="2"/>
        <v>2.5489458605470614</v>
      </c>
      <c r="P18" s="3">
        <f t="shared" si="3"/>
        <v>6.7185742406504563</v>
      </c>
      <c r="Q18" s="5">
        <f t="shared" si="4"/>
        <v>2.6358246146540352</v>
      </c>
      <c r="R18" s="3">
        <f t="shared" si="5"/>
        <v>-77.654050540796021</v>
      </c>
      <c r="S18" s="3">
        <f t="shared" si="6"/>
        <v>-152.54764019657256</v>
      </c>
      <c r="T18" s="3">
        <f t="shared" si="7"/>
        <v>74.893589655776537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1.8339939999999999</v>
      </c>
      <c r="G19" s="3">
        <f>VLOOKUP($A19,'Summary Data (40)'!$C$2:$L$249,6,1)</f>
        <v>1.9023749999999999</v>
      </c>
      <c r="H19" s="3">
        <f>VLOOKUP($A19,'Summary Data (40)'!$C$2:$L$249,7,1)</f>
        <v>-0.81248629999999999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3.046758551300659</v>
      </c>
      <c r="N19" s="3">
        <f t="shared" si="1"/>
        <v>5.8452043362164581</v>
      </c>
      <c r="O19" s="3">
        <f t="shared" si="2"/>
        <v>8.0292617967033557</v>
      </c>
      <c r="P19" s="3">
        <f t="shared" si="3"/>
        <v>-2.1840574604868976</v>
      </c>
      <c r="Q19" s="5">
        <f t="shared" si="4"/>
        <v>-0.27201223671441693</v>
      </c>
      <c r="R19" s="3">
        <f t="shared" si="5"/>
        <v>23.666151625811782</v>
      </c>
      <c r="S19" s="3">
        <f t="shared" si="6"/>
        <v>5.8277751689696187</v>
      </c>
      <c r="T19" s="3">
        <f t="shared" si="7"/>
        <v>17.838376456842163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0.74058959999999996</v>
      </c>
      <c r="G20" s="3">
        <f>VLOOKUP($A20,'Summary Data (40)'!$C$2:$L$249,6,1)</f>
        <v>1.9039299999999999</v>
      </c>
      <c r="H20" s="3">
        <f>VLOOKUP($A20,'Summary Data (40)'!$C$2:$L$249,7,1)</f>
        <v>-3.5940219999999998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2.8749556325119454</v>
      </c>
      <c r="N20" s="3">
        <f t="shared" si="1"/>
        <v>6.3594364593816142</v>
      </c>
      <c r="O20" s="3">
        <f t="shared" si="2"/>
        <v>7.8871175977032326</v>
      </c>
      <c r="P20" s="3">
        <f t="shared" si="3"/>
        <v>-1.5276811383216184</v>
      </c>
      <c r="Q20" s="5">
        <f t="shared" si="4"/>
        <v>-0.19369321167044432</v>
      </c>
      <c r="R20" s="3">
        <f t="shared" si="5"/>
        <v>-63.65586590726528</v>
      </c>
      <c r="S20" s="3">
        <f t="shared" si="6"/>
        <v>-83.457551968118821</v>
      </c>
      <c r="T20" s="3">
        <f t="shared" si="7"/>
        <v>19.801686060853541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-3.7981829999999999</v>
      </c>
      <c r="G21" s="3">
        <f>VLOOKUP($A21,'Summary Data (40)'!$C$2:$L$249,6,1)</f>
        <v>1.910998</v>
      </c>
      <c r="H21" s="3">
        <f>VLOOKUP($A21,'Summary Data (40)'!$C$2:$L$249,7,1)</f>
        <v>-3.8640500000000002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8.3499868378332796</v>
      </c>
      <c r="N21" s="3">
        <f t="shared" si="1"/>
        <v>9.1487810511558862</v>
      </c>
      <c r="O21" s="3">
        <f t="shared" si="2"/>
        <v>2.5489458605470614</v>
      </c>
      <c r="P21" s="3">
        <f t="shared" si="3"/>
        <v>6.5998351906088253</v>
      </c>
      <c r="Q21" s="5">
        <f t="shared" si="4"/>
        <v>2.589241024206121</v>
      </c>
      <c r="R21" s="3">
        <f t="shared" si="5"/>
        <v>-77.654050540796021</v>
      </c>
      <c r="S21" s="3">
        <f t="shared" si="6"/>
        <v>-141.61354418906231</v>
      </c>
      <c r="T21" s="3">
        <f t="shared" si="7"/>
        <v>63.959493648266289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1.737144</v>
      </c>
      <c r="G22" s="3">
        <f>VLOOKUP($A22,'Summary Data (40)'!$C$2:$L$249,6,1)</f>
        <v>1.887556</v>
      </c>
      <c r="H22" s="3">
        <f>VLOOKUP($A22,'Summary Data (40)'!$C$2:$L$249,7,1)</f>
        <v>6.1385329999999998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9.4666334561355541</v>
      </c>
      <c r="N22" s="3">
        <f t="shared" si="1"/>
        <v>8.4127192042065086</v>
      </c>
      <c r="O22" s="3">
        <f t="shared" si="2"/>
        <v>1.5015515309172709</v>
      </c>
      <c r="P22" s="3">
        <f t="shared" si="3"/>
        <v>6.9111676732892375</v>
      </c>
      <c r="Q22" s="5">
        <f t="shared" si="4"/>
        <v>4.6026843108523412</v>
      </c>
      <c r="R22" s="3">
        <f t="shared" si="5"/>
        <v>-85.071579131103505</v>
      </c>
      <c r="S22" s="3">
        <f t="shared" si="6"/>
        <v>45.969901717449886</v>
      </c>
      <c r="T22" s="3">
        <f t="shared" si="7"/>
        <v>131.04148084855339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-4.7717840000000002</v>
      </c>
      <c r="G23" s="3">
        <f>VLOOKUP($A23,'Summary Data (40)'!$C$2:$L$249,6,1)</f>
        <v>1.8963939999999999</v>
      </c>
      <c r="H23" s="3">
        <f>VLOOKUP($A23,'Summary Data (40)'!$C$2:$L$249,7,1)</f>
        <v>3.9699520000000001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8.9877239829091327</v>
      </c>
      <c r="N23" s="3">
        <f t="shared" si="1"/>
        <v>11.73921468791503</v>
      </c>
      <c r="O23" s="3">
        <f t="shared" si="2"/>
        <v>4.3718971854333439</v>
      </c>
      <c r="P23" s="3">
        <f t="shared" si="3"/>
        <v>7.3673175024816864</v>
      </c>
      <c r="Q23" s="5">
        <f t="shared" si="4"/>
        <v>1.6851534219580315</v>
      </c>
      <c r="R23" s="3">
        <f t="shared" si="5"/>
        <v>177.02371934116897</v>
      </c>
      <c r="S23" s="3">
        <f t="shared" si="6"/>
        <v>134.90968928089023</v>
      </c>
      <c r="T23" s="3">
        <f t="shared" si="7"/>
        <v>42.114030060278736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-0.58983470000000005</v>
      </c>
      <c r="G24" s="3">
        <f>VLOOKUP($A24,'Summary Data (40)'!$C$2:$L$249,6,1)</f>
        <v>1.9042399999999999</v>
      </c>
      <c r="H24" s="3">
        <f>VLOOKUP($A24,'Summary Data (40)'!$C$2:$L$249,7,1)</f>
        <v>-0.1115251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5.4999763787360116</v>
      </c>
      <c r="N24" s="3">
        <f t="shared" si="1"/>
        <v>4.0139151906653563</v>
      </c>
      <c r="O24" s="3">
        <f t="shared" si="2"/>
        <v>8.8659173242253964</v>
      </c>
      <c r="P24" s="3">
        <f t="shared" si="3"/>
        <v>-4.8520021335600401</v>
      </c>
      <c r="Q24" s="5">
        <f t="shared" si="4"/>
        <v>-0.54726453632748639</v>
      </c>
      <c r="R24" s="3">
        <f t="shared" si="5"/>
        <v>111.35858600069317</v>
      </c>
      <c r="S24" s="3">
        <f t="shared" si="6"/>
        <v>86.283720528064606</v>
      </c>
      <c r="T24" s="3">
        <f t="shared" si="7"/>
        <v>25.074865472628559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-3.8719030000000001</v>
      </c>
      <c r="G25" s="3">
        <f>VLOOKUP($A25,'Summary Data (40)'!$C$2:$L$249,6,1)</f>
        <v>1.8986320000000001</v>
      </c>
      <c r="H25" s="3">
        <f>VLOOKUP($A25,'Summary Data (40)'!$C$2:$L$249,7,1)</f>
        <v>-4.0808410000000004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4.1776314855058727</v>
      </c>
      <c r="N25" s="3">
        <f t="shared" si="1"/>
        <v>8.5027036306512542</v>
      </c>
      <c r="O25" s="3">
        <f t="shared" si="2"/>
        <v>8.0641771433916301</v>
      </c>
      <c r="P25" s="3">
        <f t="shared" si="3"/>
        <v>0.43852648725962418</v>
      </c>
      <c r="Q25" s="5">
        <f t="shared" si="4"/>
        <v>5.4379570222981087E-2</v>
      </c>
      <c r="R25" s="3">
        <f t="shared" si="5"/>
        <v>174.57078263739461</v>
      </c>
      <c r="S25" s="3">
        <f t="shared" si="6"/>
        <v>-156.37211356986361</v>
      </c>
      <c r="T25" s="3">
        <f t="shared" si="7"/>
        <v>29.057103792741771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-0.7945951</v>
      </c>
      <c r="G26" s="3">
        <f>VLOOKUP($A26,'Summary Data (40)'!$C$2:$L$249,6,1)</f>
        <v>1.890593</v>
      </c>
      <c r="H26" s="3">
        <f>VLOOKUP($A26,'Summary Data (40)'!$C$2:$L$249,7,1)</f>
        <v>-4.6736040000000001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7.4418821111974092</v>
      </c>
      <c r="N26" s="3">
        <f t="shared" si="1"/>
        <v>9.4056861002246936</v>
      </c>
      <c r="O26" s="3">
        <f t="shared" si="2"/>
        <v>4.3329067610554466</v>
      </c>
      <c r="P26" s="3">
        <f t="shared" si="3"/>
        <v>5.0727793391692471</v>
      </c>
      <c r="Q26" s="5">
        <f t="shared" si="4"/>
        <v>1.1707566349601246</v>
      </c>
      <c r="R26" s="3">
        <f t="shared" si="5"/>
        <v>-19.074748100261683</v>
      </c>
      <c r="S26" s="3">
        <f t="shared" si="6"/>
        <v>-69.562003157831484</v>
      </c>
      <c r="T26" s="3">
        <f t="shared" si="7"/>
        <v>50.487255057569797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-1.074862</v>
      </c>
      <c r="G27" s="3">
        <f>VLOOKUP($A27,'Summary Data (40)'!$C$2:$L$249,6,1)</f>
        <v>1.8890089999999999</v>
      </c>
      <c r="H27" s="3">
        <f>VLOOKUP($A27,'Summary Data (40)'!$C$2:$L$249,7,1)</f>
        <v>-1.174992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6.1052424262356695</v>
      </c>
      <c r="N27" s="3">
        <f t="shared" si="1"/>
        <v>2.9505887533012798</v>
      </c>
      <c r="O27" s="3">
        <f t="shared" si="2"/>
        <v>8.8659173242253964</v>
      </c>
      <c r="P27" s="3">
        <f t="shared" si="3"/>
        <v>-5.9153285709241166</v>
      </c>
      <c r="Q27" s="5">
        <f t="shared" si="4"/>
        <v>-0.66719870652988877</v>
      </c>
      <c r="R27" s="3">
        <f t="shared" si="5"/>
        <v>111.35858600069317</v>
      </c>
      <c r="S27" s="3">
        <f t="shared" si="6"/>
        <v>94.370703064628501</v>
      </c>
      <c r="T27" s="3">
        <f t="shared" si="7"/>
        <v>16.987882936064665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-5.0450710000000001</v>
      </c>
      <c r="G28" s="3">
        <f>VLOOKUP($A28,'Summary Data (40)'!$C$2:$L$249,6,1)</f>
        <v>1.9009510000000001</v>
      </c>
      <c r="H28" s="3">
        <f>VLOOKUP($A28,'Summary Data (40)'!$C$2:$L$249,7,1)</f>
        <v>-3.7993450000000002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9.4926642630015099</v>
      </c>
      <c r="N28" s="3">
        <f t="shared" si="1"/>
        <v>10.119646758660403</v>
      </c>
      <c r="O28" s="3">
        <f t="shared" si="2"/>
        <v>2.5489458605470614</v>
      </c>
      <c r="P28" s="3">
        <f t="shared" si="3"/>
        <v>7.5707008981133423</v>
      </c>
      <c r="Q28" s="5">
        <f t="shared" si="4"/>
        <v>2.9701301292011353</v>
      </c>
      <c r="R28" s="3">
        <f t="shared" si="5"/>
        <v>-77.654050540796021</v>
      </c>
      <c r="S28" s="3">
        <f t="shared" si="6"/>
        <v>-146.28968645712709</v>
      </c>
      <c r="T28" s="3">
        <f t="shared" si="7"/>
        <v>68.635635916331069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1.350476</v>
      </c>
      <c r="G29" s="3">
        <f>VLOOKUP($A29,'Summary Data (40)'!$C$2:$L$249,6,1)</f>
        <v>1.8835839999999999</v>
      </c>
      <c r="H29" s="3">
        <f>VLOOKUP($A29,'Summary Data (40)'!$C$2:$L$249,7,1)</f>
        <v>-4.1143340000000004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6.9673264664526817</v>
      </c>
      <c r="N29" s="3">
        <f t="shared" si="1"/>
        <v>9.8799412659252184</v>
      </c>
      <c r="O29" s="3">
        <f t="shared" si="2"/>
        <v>4.3329067610554466</v>
      </c>
      <c r="P29" s="3">
        <f t="shared" si="3"/>
        <v>5.5470345048697718</v>
      </c>
      <c r="Q29" s="5">
        <f t="shared" si="4"/>
        <v>1.2802109093892844</v>
      </c>
      <c r="R29" s="3">
        <f t="shared" si="5"/>
        <v>-19.074748100261683</v>
      </c>
      <c r="S29" s="3">
        <f t="shared" si="6"/>
        <v>-56.664170809607576</v>
      </c>
      <c r="T29" s="3">
        <f t="shared" si="7"/>
        <v>37.589422709345897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-2.8216209999999999</v>
      </c>
      <c r="G30" s="3">
        <f>VLOOKUP($A30,'Summary Data (40)'!$C$2:$L$249,6,1)</f>
        <v>1.892088</v>
      </c>
      <c r="H30" s="3">
        <f>VLOOKUP($A30,'Summary Data (40)'!$C$2:$L$249,7,1)</f>
        <v>4.6706830000000004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9.0061457836374164</v>
      </c>
      <c r="N30" s="3">
        <f t="shared" si="1"/>
        <v>11.0195258305487</v>
      </c>
      <c r="O30" s="3">
        <f t="shared" si="2"/>
        <v>4.3718971854333439</v>
      </c>
      <c r="P30" s="3">
        <f t="shared" si="3"/>
        <v>6.6476286451153559</v>
      </c>
      <c r="Q30" s="5">
        <f t="shared" si="4"/>
        <v>1.5205363628551207</v>
      </c>
      <c r="R30" s="3">
        <f t="shared" si="5"/>
        <v>177.02371934116897</v>
      </c>
      <c r="S30" s="3">
        <f t="shared" si="6"/>
        <v>125.10848949825976</v>
      </c>
      <c r="T30" s="3">
        <f t="shared" si="7"/>
        <v>51.915229842909213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2.2985929999999999</v>
      </c>
      <c r="G31" s="3">
        <f>VLOOKUP($A31,'Summary Data (40)'!$C$2:$L$249,6,1)</f>
        <v>1.9009259999999999</v>
      </c>
      <c r="H31" s="3">
        <f>VLOOKUP($A31,'Summary Data (40)'!$C$2:$L$249,7,1)</f>
        <v>3.1882920000000001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7.7807973387637466</v>
      </c>
      <c r="N31" s="3">
        <f t="shared" si="1"/>
        <v>7.118249613276638</v>
      </c>
      <c r="O31" s="3">
        <f t="shared" si="2"/>
        <v>1.5015515309172709</v>
      </c>
      <c r="P31" s="3">
        <f t="shared" si="3"/>
        <v>5.6166980823593669</v>
      </c>
      <c r="Q31" s="5">
        <f t="shared" si="4"/>
        <v>3.7405962877133008</v>
      </c>
      <c r="R31" s="3">
        <f t="shared" si="5"/>
        <v>-85.071579131103505</v>
      </c>
      <c r="S31" s="3">
        <f t="shared" si="6"/>
        <v>25.801863134696923</v>
      </c>
      <c r="T31" s="3">
        <f t="shared" si="7"/>
        <v>110.87344226580043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-5.5999679999999996</v>
      </c>
      <c r="G32" s="3">
        <f>VLOOKUP($A32,'Summary Data (40)'!$C$2:$L$249,6,1)</f>
        <v>1.8999090000000001</v>
      </c>
      <c r="H32" s="3">
        <f>VLOOKUP($A32,'Summary Data (40)'!$C$2:$L$249,7,1)</f>
        <v>-3.3876599999999999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3.7834010779487808</v>
      </c>
      <c r="N32" s="3">
        <f t="shared" si="1"/>
        <v>9.897529679906194</v>
      </c>
      <c r="O32" s="3">
        <f t="shared" si="2"/>
        <v>8.0641771433916301</v>
      </c>
      <c r="P32" s="3">
        <f t="shared" si="3"/>
        <v>1.833352536514564</v>
      </c>
      <c r="Q32" s="5">
        <f t="shared" si="4"/>
        <v>0.22734527080880729</v>
      </c>
      <c r="R32" s="3">
        <f t="shared" si="5"/>
        <v>174.57078263739461</v>
      </c>
      <c r="S32" s="3">
        <f t="shared" si="6"/>
        <v>-164.08109585552734</v>
      </c>
      <c r="T32" s="3">
        <f t="shared" si="7"/>
        <v>21.348121507078076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-1.450305</v>
      </c>
      <c r="G33" s="3">
        <f>VLOOKUP($A33,'Summary Data (40)'!$C$2:$L$249,6,1)</f>
        <v>1.8946419999999999</v>
      </c>
      <c r="H33" s="3">
        <f>VLOOKUP($A33,'Summary Data (40)'!$C$2:$L$249,7,1)</f>
        <v>-3.4880960000000001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5.0395195217640545</v>
      </c>
      <c r="N33" s="3">
        <f t="shared" si="1"/>
        <v>6.3828040128333106</v>
      </c>
      <c r="O33" s="3">
        <f t="shared" si="2"/>
        <v>7.8871175977032326</v>
      </c>
      <c r="P33" s="3">
        <f t="shared" si="3"/>
        <v>-1.5043135848699221</v>
      </c>
      <c r="Q33" s="5">
        <f t="shared" si="4"/>
        <v>-0.19073046220434009</v>
      </c>
      <c r="R33" s="3">
        <f t="shared" si="5"/>
        <v>-63.65586590726528</v>
      </c>
      <c r="S33" s="3">
        <f t="shared" si="6"/>
        <v>-103.28102345389985</v>
      </c>
      <c r="T33" s="3">
        <f t="shared" si="7"/>
        <v>39.625157546634568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5.0643969999999996</v>
      </c>
      <c r="G34" s="3">
        <f>VLOOKUP($A34,'Summary Data (40)'!$C$2:$L$249,6,1)</f>
        <v>1.8993500000000001</v>
      </c>
      <c r="H34" s="3">
        <f>VLOOKUP($A34,'Summary Data (40)'!$C$2:$L$249,7,1)</f>
        <v>-0.5897559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2.9416488189098655</v>
      </c>
      <c r="N34" s="3">
        <f t="shared" si="1"/>
        <v>9.0821506989475669</v>
      </c>
      <c r="O34" s="3">
        <f t="shared" si="2"/>
        <v>8.0292617967033557</v>
      </c>
      <c r="P34" s="3">
        <f t="shared" si="3"/>
        <v>1.0528889022442112</v>
      </c>
      <c r="Q34" s="5">
        <f t="shared" si="4"/>
        <v>0.13113146997853589</v>
      </c>
      <c r="R34" s="3">
        <f t="shared" si="5"/>
        <v>23.666151625811782</v>
      </c>
      <c r="S34" s="3">
        <f t="shared" si="6"/>
        <v>5.1563260670312365</v>
      </c>
      <c r="T34" s="3">
        <f t="shared" si="7"/>
        <v>18.509825558780545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-4.2284610000000002</v>
      </c>
      <c r="G35" s="3">
        <f>VLOOKUP($A35,'Summary Data (40)'!$C$2:$L$249,6,1)</f>
        <v>1.9012579999999999</v>
      </c>
      <c r="H35" s="3">
        <f>VLOOKUP($A35,'Summary Data (40)'!$C$2:$L$249,7,1)</f>
        <v>-2.320481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2.4133900761961375</v>
      </c>
      <c r="N35" s="3">
        <f t="shared" si="1"/>
        <v>8.3113789752292018</v>
      </c>
      <c r="O35" s="3">
        <f t="shared" si="2"/>
        <v>8.0641771433916301</v>
      </c>
      <c r="P35" s="3">
        <f t="shared" si="3"/>
        <v>0.24720183183757172</v>
      </c>
      <c r="Q35" s="5">
        <f t="shared" si="4"/>
        <v>3.0654315678090824E-2</v>
      </c>
      <c r="R35" s="3">
        <f t="shared" si="5"/>
        <v>174.57078263739461</v>
      </c>
      <c r="S35" s="3">
        <f t="shared" si="6"/>
        <v>-168.5671150558185</v>
      </c>
      <c r="T35" s="3">
        <f t="shared" si="7"/>
        <v>16.86210230678688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-3.6381160000000001</v>
      </c>
      <c r="G36" s="3">
        <f>VLOOKUP($A36,'Summary Data (40)'!$C$2:$L$249,6,1)</f>
        <v>1.912086</v>
      </c>
      <c r="H36" s="3">
        <f>VLOOKUP($A36,'Summary Data (40)'!$C$2:$L$249,7,1)</f>
        <v>-2.3716349999999999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7.7446917219913285</v>
      </c>
      <c r="N36" s="3">
        <f t="shared" si="1"/>
        <v>8.167031941206119</v>
      </c>
      <c r="O36" s="3">
        <f t="shared" si="2"/>
        <v>2.5489458605470614</v>
      </c>
      <c r="P36" s="3">
        <f t="shared" si="3"/>
        <v>5.618086080659058</v>
      </c>
      <c r="Q36" s="5">
        <f t="shared" si="4"/>
        <v>2.2040821531820569</v>
      </c>
      <c r="R36" s="3">
        <f t="shared" si="5"/>
        <v>-77.654050540796021</v>
      </c>
      <c r="S36" s="3">
        <f t="shared" si="6"/>
        <v>-149.14473496396479</v>
      </c>
      <c r="T36" s="3">
        <f t="shared" si="7"/>
        <v>71.490684423168773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0.52559920000000004</v>
      </c>
      <c r="G37" s="3">
        <f>VLOOKUP($A37,'Summary Data (40)'!$C$2:$L$249,6,1)</f>
        <v>1.8875820000000001</v>
      </c>
      <c r="H37" s="3">
        <f>VLOOKUP($A37,'Summary Data (40)'!$C$2:$L$249,7,1)</f>
        <v>-4.8042059999999998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7.5454341772410052</v>
      </c>
      <c r="N37" s="3">
        <f t="shared" si="1"/>
        <v>10.05987846661562</v>
      </c>
      <c r="O37" s="3">
        <f t="shared" si="2"/>
        <v>4.3329067610554466</v>
      </c>
      <c r="P37" s="3">
        <f t="shared" si="3"/>
        <v>5.7269717055601737</v>
      </c>
      <c r="Q37" s="5">
        <f t="shared" si="4"/>
        <v>1.3217389667912329</v>
      </c>
      <c r="R37" s="3">
        <f t="shared" si="5"/>
        <v>-19.074748100261683</v>
      </c>
      <c r="S37" s="3">
        <f t="shared" si="6"/>
        <v>-62.759972777648805</v>
      </c>
      <c r="T37" s="3">
        <f t="shared" si="7"/>
        <v>43.685224677387126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4.5542660000000001</v>
      </c>
      <c r="G38" s="3">
        <f>VLOOKUP($A38,'Summary Data (40)'!$C$2:$L$249,6,1)</f>
        <v>1.909395</v>
      </c>
      <c r="H38" s="3">
        <f>VLOOKUP($A38,'Summary Data (40)'!$C$2:$L$249,7,1)</f>
        <v>-1.3069219999999999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3.3398020936636348</v>
      </c>
      <c r="N38" s="3">
        <f t="shared" si="1"/>
        <v>8.5358410330113355</v>
      </c>
      <c r="O38" s="3">
        <f t="shared" si="2"/>
        <v>8.0292617967033557</v>
      </c>
      <c r="P38" s="3">
        <f t="shared" si="3"/>
        <v>0.50657923630797974</v>
      </c>
      <c r="Q38" s="5">
        <f t="shared" si="4"/>
        <v>6.3091632722197505E-2</v>
      </c>
      <c r="R38" s="3">
        <f t="shared" si="5"/>
        <v>23.666151625811782</v>
      </c>
      <c r="S38" s="3">
        <f t="shared" si="6"/>
        <v>0.66506378212662476</v>
      </c>
      <c r="T38" s="3">
        <f t="shared" si="7"/>
        <v>23.001087843685156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-7.1819410000000001</v>
      </c>
      <c r="G39" s="3">
        <f>VLOOKUP($A39,'Summary Data (40)'!$C$2:$L$249,6,1)</f>
        <v>1.8919999999999999</v>
      </c>
      <c r="H39" s="3">
        <f>VLOOKUP($A39,'Summary Data (40)'!$C$2:$L$249,7,1)</f>
        <v>-2.27529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3.8770373085103267</v>
      </c>
      <c r="N39" s="3">
        <f t="shared" si="1"/>
        <v>11.214991014155162</v>
      </c>
      <c r="O39" s="3">
        <f t="shared" si="2"/>
        <v>8.0641771433916301</v>
      </c>
      <c r="P39" s="3">
        <f t="shared" si="3"/>
        <v>3.1508138707635318</v>
      </c>
      <c r="Q39" s="5">
        <f t="shared" si="4"/>
        <v>0.39071734347323167</v>
      </c>
      <c r="R39" s="3">
        <f t="shared" si="5"/>
        <v>174.57078263739461</v>
      </c>
      <c r="S39" s="3">
        <f t="shared" si="6"/>
        <v>-171.78602314944777</v>
      </c>
      <c r="T39" s="3">
        <f t="shared" si="7"/>
        <v>13.643194213157585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-0.90155339999999995</v>
      </c>
      <c r="G40" s="3">
        <f>VLOOKUP($A40,'Summary Data (40)'!$C$2:$L$249,6,1)</f>
        <v>1.8839170000000001</v>
      </c>
      <c r="H40" s="3">
        <f>VLOOKUP($A40,'Summary Data (40)'!$C$2:$L$249,7,1)</f>
        <v>-5.2182880000000003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4.5032385622788809</v>
      </c>
      <c r="N40" s="3">
        <f t="shared" si="1"/>
        <v>7.9951136900481643</v>
      </c>
      <c r="O40" s="3">
        <f t="shared" si="2"/>
        <v>7.8871175977032326</v>
      </c>
      <c r="P40" s="3">
        <f t="shared" si="3"/>
        <v>0.10799609234493168</v>
      </c>
      <c r="Q40" s="5">
        <f t="shared" si="4"/>
        <v>1.3692719933119886E-2</v>
      </c>
      <c r="R40" s="3">
        <f t="shared" si="5"/>
        <v>-63.65586590726528</v>
      </c>
      <c r="S40" s="3">
        <f t="shared" si="6"/>
        <v>-96.590028794413769</v>
      </c>
      <c r="T40" s="3">
        <f t="shared" si="7"/>
        <v>32.934162887148489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1.0532060000000001</v>
      </c>
      <c r="G41" s="3">
        <f>VLOOKUP($A41,'Summary Data (40)'!$C$2:$L$249,6,1)</f>
        <v>1.9061490000000001</v>
      </c>
      <c r="H41" s="3">
        <f>VLOOKUP($A41,'Summary Data (40)'!$C$2:$L$249,7,1)</f>
        <v>1.5393539999999999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5.753511800957047</v>
      </c>
      <c r="N41" s="3">
        <f t="shared" si="1"/>
        <v>5.9679589184035109</v>
      </c>
      <c r="O41" s="3">
        <f t="shared" si="2"/>
        <v>8.8659173242253964</v>
      </c>
      <c r="P41" s="3">
        <f t="shared" si="3"/>
        <v>-2.8979584058218855</v>
      </c>
      <c r="Q41" s="5">
        <f t="shared" si="4"/>
        <v>-0.32686503830838243</v>
      </c>
      <c r="R41" s="3">
        <f t="shared" si="5"/>
        <v>111.35858600069317</v>
      </c>
      <c r="S41" s="3">
        <f t="shared" si="6"/>
        <v>71.403343305143281</v>
      </c>
      <c r="T41" s="3">
        <f t="shared" si="7"/>
        <v>39.955242695549885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1.009635808553802</v>
      </c>
      <c r="T42" s="3">
        <f>AVERAGE(T2:T41)</f>
        <v>46.11413683065755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2017-09-13T10:49:43Z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