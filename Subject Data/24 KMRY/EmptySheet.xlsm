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4 KMRY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L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D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13" i="3" l="1"/>
  <c r="N13" i="3" s="1"/>
  <c r="P13" i="3" s="1"/>
  <c r="Q13" i="3" s="1"/>
  <c r="J18" i="3"/>
  <c r="D4" i="3"/>
  <c r="C12" i="3"/>
  <c r="S12" i="3" s="1"/>
  <c r="D13" i="3"/>
  <c r="C39" i="3"/>
  <c r="D3" i="3"/>
  <c r="L7" i="3"/>
  <c r="L9" i="3"/>
  <c r="E12" i="3"/>
  <c r="C22" i="3"/>
  <c r="C28" i="3"/>
  <c r="S28" i="3" s="1"/>
  <c r="J29" i="3"/>
  <c r="J5" i="3"/>
  <c r="E22" i="3"/>
  <c r="L25" i="3"/>
  <c r="M25" i="3" s="1"/>
  <c r="E28" i="3"/>
  <c r="K29" i="3"/>
  <c r="D35" i="3"/>
  <c r="C36" i="3"/>
  <c r="S36" i="3" s="1"/>
  <c r="L3" i="3"/>
  <c r="K17" i="3"/>
  <c r="C40" i="3"/>
  <c r="N40" i="3" s="1"/>
  <c r="J4" i="3"/>
  <c r="R4" i="3" s="1"/>
  <c r="T4" i="3" s="1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J9" i="3"/>
  <c r="K10" i="3"/>
  <c r="L13" i="3"/>
  <c r="M13" i="3" s="1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S20" i="3" s="1"/>
  <c r="L21" i="3"/>
  <c r="J23" i="3"/>
  <c r="M23" i="3" s="1"/>
  <c r="C24" i="3"/>
  <c r="S24" i="3" s="1"/>
  <c r="C26" i="3"/>
  <c r="D27" i="3"/>
  <c r="N28" i="3"/>
  <c r="K28" i="3"/>
  <c r="C30" i="3"/>
  <c r="D31" i="3"/>
  <c r="S32" i="3"/>
  <c r="K32" i="3"/>
  <c r="J33" i="3"/>
  <c r="D40" i="3"/>
  <c r="J41" i="3"/>
  <c r="M41" i="3" s="1"/>
  <c r="S4" i="3"/>
  <c r="N3" i="3"/>
  <c r="K6" i="3"/>
  <c r="N16" i="3"/>
  <c r="D17" i="3"/>
  <c r="D20" i="3"/>
  <c r="L23" i="3"/>
  <c r="D24" i="3"/>
  <c r="E26" i="3"/>
  <c r="E30" i="3"/>
  <c r="K33" i="3"/>
  <c r="K41" i="3"/>
  <c r="K5" i="3"/>
  <c r="J10" i="3"/>
  <c r="M10" i="3" s="1"/>
  <c r="E11" i="3"/>
  <c r="O13" i="3"/>
  <c r="K18" i="3"/>
  <c r="L27" i="3"/>
  <c r="N30" i="3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O9" i="3"/>
  <c r="C10" i="3"/>
  <c r="E10" i="3"/>
  <c r="D10" i="3"/>
  <c r="W13" i="3"/>
  <c r="S16" i="3"/>
  <c r="V18" i="3"/>
  <c r="Y18" i="3" s="1"/>
  <c r="N20" i="3"/>
  <c r="S22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E18" i="3"/>
  <c r="D18" i="3"/>
  <c r="M21" i="3"/>
  <c r="W22" i="3"/>
  <c r="V7" i="3"/>
  <c r="L8" i="3"/>
  <c r="W9" i="3"/>
  <c r="V14" i="3"/>
  <c r="Y14" i="3" s="1"/>
  <c r="S18" i="3"/>
  <c r="M18" i="3"/>
  <c r="J19" i="3"/>
  <c r="L19" i="3"/>
  <c r="K19" i="3"/>
  <c r="L22" i="3"/>
  <c r="J22" i="3"/>
  <c r="K22" i="3"/>
  <c r="M9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S39" i="3"/>
  <c r="E41" i="3"/>
  <c r="D41" i="3"/>
  <c r="L34" i="3"/>
  <c r="K34" i="3"/>
  <c r="L38" i="3"/>
  <c r="K38" i="3"/>
  <c r="M33" i="3"/>
  <c r="J34" i="3"/>
  <c r="K35" i="3"/>
  <c r="J35" i="3"/>
  <c r="R36" i="3"/>
  <c r="M37" i="3"/>
  <c r="J38" i="3"/>
  <c r="K39" i="3"/>
  <c r="J39" i="3"/>
  <c r="M36" i="3"/>
  <c r="M40" i="3"/>
  <c r="T36" i="3" l="1"/>
  <c r="N36" i="3"/>
  <c r="S34" i="3"/>
  <c r="O37" i="3"/>
  <c r="O33" i="3"/>
  <c r="S25" i="3"/>
  <c r="O10" i="3"/>
  <c r="M27" i="3"/>
  <c r="S9" i="3"/>
  <c r="M7" i="3"/>
  <c r="N12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S6" i="3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T6" i="3" s="1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T11" i="3" s="1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O26" i="3"/>
  <c r="M26" i="3"/>
  <c r="N25" i="3"/>
  <c r="P25" i="3" s="1"/>
  <c r="Q25" i="3" s="1"/>
  <c r="R21" i="3"/>
  <c r="T21" i="3" s="1"/>
  <c r="O8" i="3"/>
  <c r="P8" i="3" s="1"/>
  <c r="Q8" i="3" s="1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15" i="3" l="1"/>
  <c r="Q15" i="3" s="1"/>
  <c r="T23" i="3"/>
  <c r="T26" i="3"/>
  <c r="T9" i="3"/>
  <c r="T10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<sst xmlns="http://schemas.openxmlformats.org/spreadsheetml/2006/main" count="394" uniqueCount="37">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</sst>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42976.608437499999</v>
      </c>
      <c r="B2">
        <v>1270.1759999999999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1.4</v>
      </c>
      <c r="I2">
        <v>-4.117</v>
      </c>
      <c r="J2">
        <v>16.550719999999998</v>
      </c>
      <c r="K2">
        <v>333.57510000000002</v>
      </c>
      <c r="L2">
        <v>354.84800000000001</v>
      </c>
    </row>
    <row r="3" spans="1:12" x14ac:dyDescent="0.2">
      <c r="A3" s="1">
        <v>42976.608576388891</v>
      </c>
      <c r="B3">
        <v>1282.7460000000001</v>
      </c>
      <c r="C3">
        <v>0</v>
      </c>
      <c r="D3" t="s">
        <v>35</v>
      </c>
      <c r="E3" t="s">
        <v>0</v>
      </c>
      <c r="F3" t="s">
        <v>1</v>
      </c>
      <c r="G3">
        <v>-0.62158290000000005</v>
      </c>
      <c r="H3">
        <v>1.4</v>
      </c>
      <c r="I3">
        <v>-4.1600219999999997</v>
      </c>
      <c r="J3">
        <v>10.42441</v>
      </c>
      <c r="K3">
        <v>32.206400000000002</v>
      </c>
      <c r="L3">
        <v>358.91759999999999</v>
      </c>
    </row>
    <row r="4" spans="1:12" x14ac:dyDescent="0.2">
      <c r="A4" s="1">
        <v>42976.608935185184</v>
      </c>
      <c r="B4">
        <v>1313.0260000000001</v>
      </c>
      <c r="C4">
        <v>0</v>
      </c>
      <c r="D4" t="s">
        <v>36</v>
      </c>
      <c r="E4" t="s">
        <v>0</v>
      </c>
      <c r="F4" t="s">
        <v>1</v>
      </c>
      <c r="G4">
        <v>-13.673970000000001</v>
      </c>
      <c r="H4">
        <v>1.4</v>
      </c>
      <c r="I4">
        <v>5.0067069999999996</v>
      </c>
      <c r="J4">
        <v>0.31248150000000002</v>
      </c>
      <c r="K4">
        <v>352.08940000000001</v>
      </c>
      <c r="L4">
        <v>0.17640149999999999</v>
      </c>
    </row>
    <row r="5" spans="1:12" x14ac:dyDescent="0.2">
      <c r="A5" s="1">
        <v>42976.609131944446</v>
      </c>
      <c r="B5">
        <v>1330.6010000000001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1.4</v>
      </c>
      <c r="I5">
        <v>-4.3440000000000003</v>
      </c>
      <c r="J5">
        <v>2.9705110000000001</v>
      </c>
      <c r="K5">
        <v>339.78230000000002</v>
      </c>
      <c r="L5">
        <v>359.1728</v>
      </c>
    </row>
    <row r="6" spans="1:12" x14ac:dyDescent="0.2">
      <c r="A6" s="1">
        <v>42976.609502314815</v>
      </c>
      <c r="B6">
        <v>1362.971</v>
      </c>
      <c r="C6">
        <v>1</v>
      </c>
      <c r="D6" t="s">
        <v>35</v>
      </c>
      <c r="E6" t="s">
        <v>2</v>
      </c>
      <c r="F6" t="s">
        <v>0</v>
      </c>
      <c r="G6">
        <v>4.816065</v>
      </c>
      <c r="H6">
        <v>1.4</v>
      </c>
      <c r="I6">
        <v>-4.4312040000000001</v>
      </c>
      <c r="J6">
        <v>6.0418859999999999</v>
      </c>
      <c r="K6">
        <v>30.275030000000001</v>
      </c>
      <c r="L6">
        <v>0.46309499999999998</v>
      </c>
    </row>
    <row r="7" spans="1:12" x14ac:dyDescent="0.2">
      <c r="A7" s="1">
        <v>42976.609652777777</v>
      </c>
      <c r="B7">
        <v>1375.9590000000001</v>
      </c>
      <c r="C7">
        <v>1</v>
      </c>
      <c r="D7" t="s">
        <v>36</v>
      </c>
      <c r="E7" t="s">
        <v>2</v>
      </c>
      <c r="F7" t="s">
        <v>0</v>
      </c>
      <c r="G7">
        <v>-2.4423339999999998</v>
      </c>
      <c r="H7">
        <v>1.4</v>
      </c>
      <c r="I7">
        <v>-1.239476</v>
      </c>
      <c r="J7">
        <v>358.93889999999999</v>
      </c>
      <c r="K7">
        <v>203.3973</v>
      </c>
      <c r="L7">
        <v>359.15519999999998</v>
      </c>
    </row>
    <row r="8" spans="1:12" x14ac:dyDescent="0.2">
      <c r="A8" s="1">
        <v>42976.609826388885</v>
      </c>
      <c r="B8">
        <v>1390.9570000000001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1.4</v>
      </c>
      <c r="I8">
        <v>1.8169999999999999</v>
      </c>
      <c r="J8">
        <v>5.6459380000000001</v>
      </c>
      <c r="K8">
        <v>24.269110000000001</v>
      </c>
      <c r="L8">
        <v>0.60597599999999996</v>
      </c>
    </row>
    <row r="9" spans="1:12" x14ac:dyDescent="0.2">
      <c r="A9" s="1">
        <v>42976.609895833331</v>
      </c>
      <c r="B9">
        <v>1396.8140000000001</v>
      </c>
      <c r="C9">
        <v>2</v>
      </c>
      <c r="D9" t="s">
        <v>35</v>
      </c>
      <c r="E9" t="s">
        <v>3</v>
      </c>
      <c r="F9" t="s">
        <v>4</v>
      </c>
      <c r="G9">
        <v>3.3759890000000001</v>
      </c>
      <c r="H9">
        <v>1.4</v>
      </c>
      <c r="I9">
        <v>1.9457070000000001</v>
      </c>
      <c r="J9">
        <v>13.096959999999999</v>
      </c>
      <c r="K9">
        <v>273.66390000000001</v>
      </c>
      <c r="L9">
        <v>1.7099279999999999</v>
      </c>
    </row>
    <row r="10" spans="1:12" x14ac:dyDescent="0.2">
      <c r="A10" s="1">
        <v>42976.61</v>
      </c>
      <c r="B10">
        <v>1405.066</v>
      </c>
      <c r="C10">
        <v>2</v>
      </c>
      <c r="D10" t="s">
        <v>36</v>
      </c>
      <c r="E10" t="s">
        <v>3</v>
      </c>
      <c r="F10" t="s">
        <v>4</v>
      </c>
      <c r="G10">
        <v>7.5431939999999997</v>
      </c>
      <c r="H10">
        <v>1.4</v>
      </c>
      <c r="I10">
        <v>-1.491681</v>
      </c>
      <c r="J10">
        <v>8.2086279999999991</v>
      </c>
      <c r="K10">
        <v>227.5188</v>
      </c>
      <c r="L10">
        <v>6.1127019999999996</v>
      </c>
    </row>
    <row r="11" spans="1:12" x14ac:dyDescent="0.2">
      <c r="A11" s="1">
        <v>42976.610011574077</v>
      </c>
      <c r="B11">
        <v>1406.087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1.4</v>
      </c>
      <c r="I11">
        <v>4.1399999999999997</v>
      </c>
      <c r="J11">
        <v>7.9254179999999996</v>
      </c>
      <c r="K11">
        <v>224.3312</v>
      </c>
      <c r="L11">
        <v>2.7284760000000001</v>
      </c>
    </row>
    <row r="12" spans="1:12" x14ac:dyDescent="0.2">
      <c r="A12" s="1">
        <v>42976.610046296293</v>
      </c>
      <c r="B12">
        <v>1409.9870000000001</v>
      </c>
      <c r="C12">
        <v>3</v>
      </c>
      <c r="D12" t="s">
        <v>35</v>
      </c>
      <c r="E12" t="s">
        <v>1</v>
      </c>
      <c r="F12" t="s">
        <v>5</v>
      </c>
      <c r="G12">
        <v>-3.7322449999999998</v>
      </c>
      <c r="H12">
        <v>1.4</v>
      </c>
      <c r="I12">
        <v>4.1284590000000003</v>
      </c>
      <c r="J12">
        <v>7.113308</v>
      </c>
      <c r="K12">
        <v>3.3443360000000002</v>
      </c>
      <c r="L12">
        <v>359.93939999999998</v>
      </c>
    </row>
    <row r="13" spans="1:12" x14ac:dyDescent="0.2">
      <c r="A13" s="1">
        <v>42976.610150462962</v>
      </c>
      <c r="B13">
        <v>1418.356</v>
      </c>
      <c r="C13">
        <v>3</v>
      </c>
      <c r="D13" t="s">
        <v>36</v>
      </c>
      <c r="E13" t="s">
        <v>1</v>
      </c>
      <c r="F13" t="s">
        <v>5</v>
      </c>
      <c r="G13">
        <v>3.457125</v>
      </c>
      <c r="H13">
        <v>1.4</v>
      </c>
      <c r="I13">
        <v>-0.482655</v>
      </c>
      <c r="J13">
        <v>0.38312220000000002</v>
      </c>
      <c r="K13">
        <v>354.96949999999998</v>
      </c>
      <c r="L13">
        <v>355.55180000000001</v>
      </c>
    </row>
    <row r="14" spans="1:12" x14ac:dyDescent="0.2">
      <c r="A14" s="1">
        <v>42976.610162037039</v>
      </c>
      <c r="B14">
        <v>1419.5940000000001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1.4</v>
      </c>
      <c r="I14">
        <v>-0.67300000000000004</v>
      </c>
      <c r="J14">
        <v>2.3128829999999998</v>
      </c>
      <c r="K14">
        <v>350.89400000000001</v>
      </c>
      <c r="L14">
        <v>358.76749999999998</v>
      </c>
    </row>
    <row r="15" spans="1:12" x14ac:dyDescent="0.2">
      <c r="A15" s="1">
        <v>42976.610196759262</v>
      </c>
      <c r="B15">
        <v>1422.8910000000001</v>
      </c>
      <c r="C15">
        <v>4</v>
      </c>
      <c r="D15" t="s">
        <v>35</v>
      </c>
      <c r="E15" t="s">
        <v>4</v>
      </c>
      <c r="F15" t="s">
        <v>6</v>
      </c>
      <c r="G15">
        <v>3.642849</v>
      </c>
      <c r="H15">
        <v>1.4</v>
      </c>
      <c r="I15">
        <v>-0.64937500000000004</v>
      </c>
      <c r="J15">
        <v>8.0229230000000005</v>
      </c>
      <c r="K15">
        <v>194.9059</v>
      </c>
      <c r="L15">
        <v>5.7943519999999999</v>
      </c>
    </row>
    <row r="16" spans="1:12" x14ac:dyDescent="0.2">
      <c r="A16" s="1">
        <v>42976.610300925924</v>
      </c>
      <c r="B16">
        <v>1431.6110000000001</v>
      </c>
      <c r="C16">
        <v>4</v>
      </c>
      <c r="D16" t="s">
        <v>36</v>
      </c>
      <c r="E16" t="s">
        <v>4</v>
      </c>
      <c r="F16" t="s">
        <v>6</v>
      </c>
      <c r="G16">
        <v>-5.3467770000000003</v>
      </c>
      <c r="H16">
        <v>1.4</v>
      </c>
      <c r="I16">
        <v>1.0278369999999999</v>
      </c>
      <c r="J16">
        <v>2.0977610000000002</v>
      </c>
      <c r="K16">
        <v>129.63290000000001</v>
      </c>
      <c r="L16">
        <v>358.91570000000002</v>
      </c>
    </row>
    <row r="17" spans="1:12" x14ac:dyDescent="0.2">
      <c r="A17" s="1">
        <v>42976.610324074078</v>
      </c>
      <c r="B17">
        <v>1433.0840000000001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1.4</v>
      </c>
      <c r="I17">
        <v>-4.117</v>
      </c>
      <c r="J17">
        <v>3.6947070000000002</v>
      </c>
      <c r="K17">
        <v>126.98099999999999</v>
      </c>
      <c r="L17">
        <v>359.33150000000001</v>
      </c>
    </row>
    <row r="18" spans="1:12" x14ac:dyDescent="0.2">
      <c r="A18" s="1">
        <v>42976.610358796293</v>
      </c>
      <c r="B18">
        <v>1436.683</v>
      </c>
      <c r="C18">
        <v>5</v>
      </c>
      <c r="D18" t="s">
        <v>35</v>
      </c>
      <c r="E18" t="s">
        <v>0</v>
      </c>
      <c r="F18" t="s">
        <v>1</v>
      </c>
      <c r="G18">
        <v>-0.46326919999999999</v>
      </c>
      <c r="H18">
        <v>1.4</v>
      </c>
      <c r="I18">
        <v>-4.1359199999999996</v>
      </c>
      <c r="J18">
        <v>5.7731339999999998</v>
      </c>
      <c r="K18">
        <v>5.8125499999999999</v>
      </c>
      <c r="L18">
        <v>359.45420000000001</v>
      </c>
    </row>
    <row r="19" spans="1:12" x14ac:dyDescent="0.2">
      <c r="A19" s="1">
        <v>42976.610486111109</v>
      </c>
      <c r="B19">
        <v>1447.797</v>
      </c>
      <c r="C19">
        <v>5</v>
      </c>
      <c r="D19" t="s">
        <v>36</v>
      </c>
      <c r="E19" t="s">
        <v>0</v>
      </c>
      <c r="F19" t="s">
        <v>1</v>
      </c>
      <c r="G19">
        <v>-5.363448</v>
      </c>
      <c r="H19">
        <v>1.4</v>
      </c>
      <c r="I19">
        <v>5.8934199999999999</v>
      </c>
      <c r="J19">
        <v>2.1482049999999999</v>
      </c>
      <c r="K19">
        <v>355.09699999999998</v>
      </c>
      <c r="L19">
        <v>5.3553199999999999</v>
      </c>
    </row>
    <row r="20" spans="1:12" x14ac:dyDescent="0.2">
      <c r="A20" s="1">
        <v>42976.610497685186</v>
      </c>
      <c r="B20">
        <v>1448.9179999999999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1.4</v>
      </c>
      <c r="I20">
        <v>-1.4059999999999999</v>
      </c>
      <c r="J20">
        <v>2.4626250000000001</v>
      </c>
      <c r="K20">
        <v>349.72379999999998</v>
      </c>
      <c r="L20">
        <v>1.011657</v>
      </c>
    </row>
    <row r="21" spans="1:12" x14ac:dyDescent="0.2">
      <c r="A21" s="1">
        <v>42976.610520833332</v>
      </c>
      <c r="B21">
        <v>1450.9770000000001</v>
      </c>
      <c r="C21">
        <v>6</v>
      </c>
      <c r="D21" t="s">
        <v>35</v>
      </c>
      <c r="E21" t="s">
        <v>33</v>
      </c>
      <c r="F21" t="s">
        <v>3</v>
      </c>
      <c r="G21">
        <v>-3.9106619999999999</v>
      </c>
      <c r="H21">
        <v>1.4</v>
      </c>
      <c r="I21">
        <v>-1.4035770000000001</v>
      </c>
      <c r="J21">
        <v>16.48931</v>
      </c>
      <c r="K21">
        <v>358.13310000000001</v>
      </c>
      <c r="L21">
        <v>0.87018629999999997</v>
      </c>
    </row>
    <row r="22" spans="1:12" x14ac:dyDescent="0.2">
      <c r="A22" s="1">
        <v>42976.610636574071</v>
      </c>
      <c r="B22">
        <v>1460.9690000000001</v>
      </c>
      <c r="C22">
        <v>6</v>
      </c>
      <c r="D22" t="s">
        <v>36</v>
      </c>
      <c r="E22" t="s">
        <v>33</v>
      </c>
      <c r="F22" t="s">
        <v>3</v>
      </c>
      <c r="G22">
        <v>5.6442439999999996</v>
      </c>
      <c r="H22">
        <v>1.4</v>
      </c>
      <c r="I22">
        <v>3.6057389999999998</v>
      </c>
      <c r="J22">
        <v>356.09969999999998</v>
      </c>
      <c r="K22">
        <v>304.5419</v>
      </c>
      <c r="L22">
        <v>356.1</v>
      </c>
    </row>
    <row r="23" spans="1:12" x14ac:dyDescent="0.2">
      <c r="A23" s="1">
        <v>42976.610659722224</v>
      </c>
      <c r="B23">
        <v>1462.8440000000001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1.4</v>
      </c>
      <c r="I23">
        <v>4.1399999999999997</v>
      </c>
      <c r="J23">
        <v>359.48680000000002</v>
      </c>
      <c r="K23">
        <v>298.6216</v>
      </c>
      <c r="L23">
        <v>358.77179999999998</v>
      </c>
    </row>
    <row r="24" spans="1:12" x14ac:dyDescent="0.2">
      <c r="A24" s="1">
        <v>42976.610682870371</v>
      </c>
      <c r="B24">
        <v>1464.903</v>
      </c>
      <c r="C24">
        <v>7</v>
      </c>
      <c r="D24" t="s">
        <v>35</v>
      </c>
      <c r="E24" t="s">
        <v>1</v>
      </c>
      <c r="F24" t="s">
        <v>5</v>
      </c>
      <c r="G24">
        <v>-3.72275</v>
      </c>
      <c r="H24">
        <v>1.4</v>
      </c>
      <c r="I24">
        <v>4.1085570000000002</v>
      </c>
      <c r="J24">
        <v>3.006427</v>
      </c>
      <c r="K24">
        <v>2.1913179999999999</v>
      </c>
      <c r="L24">
        <v>358.60140000000001</v>
      </c>
    </row>
    <row r="25" spans="1:12" x14ac:dyDescent="0.2">
      <c r="A25" s="1">
        <v>42976.610775462963</v>
      </c>
      <c r="B25">
        <v>1472.6859999999999</v>
      </c>
      <c r="C25">
        <v>7</v>
      </c>
      <c r="D25" t="s">
        <v>36</v>
      </c>
      <c r="E25" t="s">
        <v>1</v>
      </c>
      <c r="F25" t="s">
        <v>5</v>
      </c>
      <c r="G25">
        <v>4.1504180000000002</v>
      </c>
      <c r="H25">
        <v>1.4</v>
      </c>
      <c r="I25">
        <v>-0.65214729999999999</v>
      </c>
      <c r="J25">
        <v>359.74610000000001</v>
      </c>
      <c r="K25">
        <v>13.468970000000001</v>
      </c>
      <c r="L25">
        <v>358.74430000000001</v>
      </c>
    </row>
    <row r="26" spans="1:12" x14ac:dyDescent="0.2">
      <c r="A26" s="1">
        <v>42976.610798611109</v>
      </c>
      <c r="B26">
        <v>1474.0250000000001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1.4</v>
      </c>
      <c r="I26">
        <v>-4.3440000000000003</v>
      </c>
      <c r="J26">
        <v>1.630328</v>
      </c>
      <c r="K26">
        <v>13.798859999999999</v>
      </c>
      <c r="L26">
        <v>359.62819999999999</v>
      </c>
    </row>
    <row r="27" spans="1:12" x14ac:dyDescent="0.2">
      <c r="A27" s="1">
        <v>42976.610821759263</v>
      </c>
      <c r="B27">
        <v>1476.0840000000001</v>
      </c>
      <c r="C27">
        <v>8</v>
      </c>
      <c r="D27" t="s">
        <v>35</v>
      </c>
      <c r="E27" t="s">
        <v>2</v>
      </c>
      <c r="F27" t="s">
        <v>0</v>
      </c>
      <c r="G27">
        <v>3.7421099999999998</v>
      </c>
      <c r="H27">
        <v>1.4</v>
      </c>
      <c r="I27">
        <v>-4.3373850000000003</v>
      </c>
      <c r="J27">
        <v>1.2271650000000001</v>
      </c>
      <c r="K27">
        <v>0.18828339999999999</v>
      </c>
      <c r="L27">
        <v>359.49770000000001</v>
      </c>
    </row>
    <row r="28" spans="1:12" x14ac:dyDescent="0.2">
      <c r="A28" s="1">
        <v>42976.610902777778</v>
      </c>
      <c r="B28">
        <v>1483.65</v>
      </c>
      <c r="C28">
        <v>8</v>
      </c>
      <c r="D28" t="s">
        <v>36</v>
      </c>
      <c r="E28" t="s">
        <v>2</v>
      </c>
      <c r="F28" t="s">
        <v>0</v>
      </c>
      <c r="G28">
        <v>-3.3342489999999998</v>
      </c>
      <c r="H28">
        <v>1.4</v>
      </c>
      <c r="I28">
        <v>-3.0961780000000001</v>
      </c>
      <c r="J28">
        <v>357.66609999999997</v>
      </c>
      <c r="K28">
        <v>189.6242</v>
      </c>
      <c r="L28">
        <v>2.1355870000000001</v>
      </c>
    </row>
    <row r="29" spans="1:12" x14ac:dyDescent="0.2">
      <c r="A29" s="1">
        <v>42976.610925925925</v>
      </c>
      <c r="B29">
        <v>1485.1220000000001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1.4</v>
      </c>
      <c r="I29">
        <v>-1.4059999999999999</v>
      </c>
      <c r="J29">
        <v>0.34097769999999999</v>
      </c>
      <c r="K29">
        <v>186.85230000000001</v>
      </c>
      <c r="L29">
        <v>2.334136</v>
      </c>
    </row>
    <row r="30" spans="1:12" x14ac:dyDescent="0.2">
      <c r="A30" s="1">
        <v>42976.610960648148</v>
      </c>
      <c r="B30">
        <v>1488.085</v>
      </c>
      <c r="C30">
        <v>9</v>
      </c>
      <c r="D30" t="s">
        <v>35</v>
      </c>
      <c r="E30" t="s">
        <v>33</v>
      </c>
      <c r="F30" t="s">
        <v>3</v>
      </c>
      <c r="G30">
        <v>-3.6435279999999999</v>
      </c>
      <c r="H30">
        <v>1.4</v>
      </c>
      <c r="I30">
        <v>-1.3894280000000001</v>
      </c>
      <c r="J30">
        <v>3.4204530000000002</v>
      </c>
      <c r="K30">
        <v>356.9667</v>
      </c>
      <c r="L30">
        <v>0.26648759999999999</v>
      </c>
    </row>
    <row r="31" spans="1:12" x14ac:dyDescent="0.2">
      <c r="A31" s="1">
        <v>42976.611064814817</v>
      </c>
      <c r="B31">
        <v>1497.107</v>
      </c>
      <c r="C31">
        <v>9</v>
      </c>
      <c r="D31" t="s">
        <v>36</v>
      </c>
      <c r="E31" t="s">
        <v>33</v>
      </c>
      <c r="F31" t="s">
        <v>3</v>
      </c>
      <c r="G31">
        <v>5.6242510000000001</v>
      </c>
      <c r="H31">
        <v>1.4</v>
      </c>
      <c r="I31">
        <v>3.6242969999999999</v>
      </c>
      <c r="J31">
        <v>355.46420000000001</v>
      </c>
      <c r="K31">
        <v>287.84949999999998</v>
      </c>
      <c r="L31">
        <v>359.04340000000002</v>
      </c>
    </row>
    <row r="32" spans="1:12" x14ac:dyDescent="0.2">
      <c r="A32" s="1">
        <v>42976.611076388886</v>
      </c>
      <c r="B32">
        <v>1498.1279999999999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1.4</v>
      </c>
      <c r="I32">
        <v>2.7240000000000002</v>
      </c>
      <c r="J32">
        <v>0.27583069999999998</v>
      </c>
      <c r="K32">
        <v>281.42250000000001</v>
      </c>
      <c r="L32">
        <v>358.05029999999999</v>
      </c>
    </row>
    <row r="33" spans="1:12" x14ac:dyDescent="0.2">
      <c r="A33" s="1">
        <v>42976.61109953704</v>
      </c>
      <c r="B33">
        <v>1500.588</v>
      </c>
      <c r="C33">
        <v>10</v>
      </c>
      <c r="D33" t="s">
        <v>35</v>
      </c>
      <c r="E33" t="s">
        <v>5</v>
      </c>
      <c r="F33" t="s">
        <v>2</v>
      </c>
      <c r="G33">
        <v>0.50644619999999996</v>
      </c>
      <c r="H33">
        <v>1.4</v>
      </c>
      <c r="I33">
        <v>2.6976870000000002</v>
      </c>
      <c r="J33">
        <v>4.4588830000000002</v>
      </c>
      <c r="K33">
        <v>0.31491200000000003</v>
      </c>
      <c r="L33">
        <v>358.38440000000003</v>
      </c>
    </row>
    <row r="34" spans="1:12" x14ac:dyDescent="0.2">
      <c r="A34" s="1">
        <v>42976.611215277779</v>
      </c>
      <c r="B34">
        <v>1510.229</v>
      </c>
      <c r="C34">
        <v>10</v>
      </c>
      <c r="D34" t="s">
        <v>36</v>
      </c>
      <c r="E34" t="s">
        <v>5</v>
      </c>
      <c r="F34" t="s">
        <v>2</v>
      </c>
      <c r="G34">
        <v>6.405716</v>
      </c>
      <c r="H34">
        <v>1.4</v>
      </c>
      <c r="I34">
        <v>-4.2855509999999999</v>
      </c>
      <c r="J34">
        <v>357.95510000000002</v>
      </c>
      <c r="K34">
        <v>11.775969999999999</v>
      </c>
      <c r="L34">
        <v>357.21429999999998</v>
      </c>
    </row>
    <row r="35" spans="1:12" x14ac:dyDescent="0.2">
      <c r="A35" s="1">
        <v>42976.611226851855</v>
      </c>
      <c r="B35">
        <v>1511.768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1.4</v>
      </c>
      <c r="I35">
        <v>-4.117</v>
      </c>
      <c r="J35">
        <v>0.1414723</v>
      </c>
      <c r="K35">
        <v>9.4926270000000006</v>
      </c>
      <c r="L35">
        <v>359.62849999999997</v>
      </c>
    </row>
    <row r="36" spans="1:12" x14ac:dyDescent="0.2">
      <c r="A36" s="1">
        <v>42976.611250000002</v>
      </c>
      <c r="B36">
        <v>1513.66</v>
      </c>
      <c r="C36">
        <v>11</v>
      </c>
      <c r="D36" t="s">
        <v>35</v>
      </c>
      <c r="E36" t="s">
        <v>0</v>
      </c>
      <c r="F36" t="s">
        <v>1</v>
      </c>
      <c r="G36">
        <v>-0.84506079999999995</v>
      </c>
      <c r="H36">
        <v>1.4</v>
      </c>
      <c r="I36">
        <v>-4.1178749999999997</v>
      </c>
      <c r="J36">
        <v>6.6365759999999998</v>
      </c>
      <c r="K36">
        <v>9.5780840000000005</v>
      </c>
      <c r="L36">
        <v>359.76979999999998</v>
      </c>
    </row>
    <row r="37" spans="1:12" x14ac:dyDescent="0.2">
      <c r="A37" s="1">
        <v>42976.611377314817</v>
      </c>
      <c r="B37">
        <v>1524.49</v>
      </c>
      <c r="C37">
        <v>11</v>
      </c>
      <c r="D37" t="s">
        <v>36</v>
      </c>
      <c r="E37" t="s">
        <v>0</v>
      </c>
      <c r="F37" t="s">
        <v>1</v>
      </c>
      <c r="G37">
        <v>-6.1543380000000001</v>
      </c>
      <c r="H37">
        <v>1.4</v>
      </c>
      <c r="I37">
        <v>6.2734839999999998</v>
      </c>
      <c r="J37">
        <v>2.3947609999999999</v>
      </c>
      <c r="K37">
        <v>349.94159999999999</v>
      </c>
      <c r="L37">
        <v>0.49430200000000002</v>
      </c>
    </row>
    <row r="38" spans="1:12" x14ac:dyDescent="0.2">
      <c r="A38" s="1">
        <v>42976.611388888887</v>
      </c>
      <c r="B38">
        <v>1525.528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1.4</v>
      </c>
      <c r="I38">
        <v>1.8169999999999999</v>
      </c>
      <c r="J38">
        <v>3.2596289999999999</v>
      </c>
      <c r="K38">
        <v>342.97489999999999</v>
      </c>
      <c r="L38">
        <v>-3.1979140000000001E-3</v>
      </c>
    </row>
    <row r="39" spans="1:12" x14ac:dyDescent="0.2">
      <c r="A39" s="1">
        <v>42976.611446759256</v>
      </c>
      <c r="B39">
        <v>1530.0809999999999</v>
      </c>
      <c r="C39">
        <v>12</v>
      </c>
      <c r="D39" t="s">
        <v>35</v>
      </c>
      <c r="E39" t="s">
        <v>3</v>
      </c>
      <c r="F39" t="s">
        <v>4</v>
      </c>
      <c r="G39">
        <v>3.288449</v>
      </c>
      <c r="H39">
        <v>1.4</v>
      </c>
      <c r="I39">
        <v>1.8848450000000001</v>
      </c>
      <c r="J39">
        <v>12.55509</v>
      </c>
      <c r="K39">
        <v>275.23910000000001</v>
      </c>
      <c r="L39">
        <v>359.5086</v>
      </c>
    </row>
    <row r="40" spans="1:12" x14ac:dyDescent="0.2">
      <c r="A40" s="1">
        <v>42976.611516203702</v>
      </c>
      <c r="B40">
        <v>1536.575</v>
      </c>
      <c r="C40">
        <v>12</v>
      </c>
      <c r="D40" t="s">
        <v>36</v>
      </c>
      <c r="E40" t="s">
        <v>3</v>
      </c>
      <c r="F40" t="s">
        <v>4</v>
      </c>
      <c r="G40">
        <v>6.5582589999999996</v>
      </c>
      <c r="H40">
        <v>1.4</v>
      </c>
      <c r="I40">
        <v>-2.1848269999999999</v>
      </c>
      <c r="J40">
        <v>2.1732140000000002</v>
      </c>
      <c r="K40">
        <v>51.821959999999997</v>
      </c>
      <c r="L40">
        <v>358.82749999999999</v>
      </c>
    </row>
    <row r="41" spans="1:12" x14ac:dyDescent="0.2">
      <c r="A41" s="1">
        <v>42976.611527777779</v>
      </c>
      <c r="B41">
        <v>1538.0160000000001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1.4</v>
      </c>
      <c r="I41">
        <v>-1.4059999999999999</v>
      </c>
      <c r="J41">
        <v>3.6547040000000002</v>
      </c>
      <c r="K41">
        <v>50.576419999999999</v>
      </c>
      <c r="L41">
        <v>359.24090000000001</v>
      </c>
    </row>
    <row r="42" spans="1:12" x14ac:dyDescent="0.2">
      <c r="A42" s="1">
        <v>42976.611562500002</v>
      </c>
      <c r="B42">
        <v>1540.124</v>
      </c>
      <c r="C42">
        <v>13</v>
      </c>
      <c r="D42" t="s">
        <v>35</v>
      </c>
      <c r="E42" t="s">
        <v>33</v>
      </c>
      <c r="F42" t="s">
        <v>3</v>
      </c>
      <c r="G42">
        <v>-3.5450339999999998</v>
      </c>
      <c r="H42">
        <v>1.4</v>
      </c>
      <c r="I42">
        <v>-1.415451</v>
      </c>
      <c r="J42">
        <v>3.6966830000000002</v>
      </c>
      <c r="K42">
        <v>0.85156100000000001</v>
      </c>
      <c r="L42">
        <v>358.43329999999997</v>
      </c>
    </row>
    <row r="43" spans="1:12" x14ac:dyDescent="0.2">
      <c r="A43" s="1">
        <v>42976.611643518518</v>
      </c>
      <c r="B43">
        <v>1547.472</v>
      </c>
      <c r="C43">
        <v>13</v>
      </c>
      <c r="D43" t="s">
        <v>36</v>
      </c>
      <c r="E43" t="s">
        <v>33</v>
      </c>
      <c r="F43" t="s">
        <v>3</v>
      </c>
      <c r="G43">
        <v>4.3622639999999997</v>
      </c>
      <c r="H43">
        <v>1.4</v>
      </c>
      <c r="I43">
        <v>3.0849259999999998</v>
      </c>
      <c r="J43">
        <v>359.83030000000002</v>
      </c>
      <c r="K43">
        <v>323.75909999999999</v>
      </c>
      <c r="L43">
        <v>358.01870000000002</v>
      </c>
    </row>
    <row r="44" spans="1:12" x14ac:dyDescent="0.2">
      <c r="A44" s="1">
        <v>42976.611655092594</v>
      </c>
      <c r="B44">
        <v>1548.979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1.4</v>
      </c>
      <c r="I44">
        <v>2.7240000000000002</v>
      </c>
      <c r="J44">
        <v>1.692034</v>
      </c>
      <c r="K44">
        <v>317.0163</v>
      </c>
      <c r="L44">
        <v>359.61689999999999</v>
      </c>
    </row>
    <row r="45" spans="1:12" x14ac:dyDescent="0.2">
      <c r="A45" s="1">
        <v>42976.611689814818</v>
      </c>
      <c r="B45">
        <v>1551.423</v>
      </c>
      <c r="C45">
        <v>14</v>
      </c>
      <c r="D45" t="s">
        <v>35</v>
      </c>
      <c r="E45" t="s">
        <v>5</v>
      </c>
      <c r="F45" t="s">
        <v>2</v>
      </c>
      <c r="G45">
        <v>0.13110669999999999</v>
      </c>
      <c r="H45">
        <v>1.4</v>
      </c>
      <c r="I45">
        <v>2.7206419999999998</v>
      </c>
      <c r="J45">
        <v>4.7773389999999996</v>
      </c>
      <c r="K45">
        <v>0.76049730000000004</v>
      </c>
      <c r="L45">
        <v>358.32389999999998</v>
      </c>
    </row>
    <row r="46" spans="1:12" x14ac:dyDescent="0.2">
      <c r="A46" s="1">
        <v>42976.611793981479</v>
      </c>
      <c r="B46">
        <v>1560.2280000000001</v>
      </c>
      <c r="C46">
        <v>14</v>
      </c>
      <c r="D46" t="s">
        <v>36</v>
      </c>
      <c r="E46" t="s">
        <v>5</v>
      </c>
      <c r="F46" t="s">
        <v>2</v>
      </c>
      <c r="G46">
        <v>7.5691959999999998</v>
      </c>
      <c r="H46">
        <v>1.4</v>
      </c>
      <c r="I46">
        <v>-3.630986</v>
      </c>
      <c r="J46">
        <v>356.26350000000002</v>
      </c>
      <c r="K46">
        <v>358.17070000000001</v>
      </c>
      <c r="L46">
        <v>357.8091</v>
      </c>
    </row>
    <row r="47" spans="1:12" x14ac:dyDescent="0.2">
      <c r="A47" s="1">
        <v>42976.611805555556</v>
      </c>
      <c r="B47">
        <v>1561.751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1.4</v>
      </c>
      <c r="I47">
        <v>0.09</v>
      </c>
      <c r="J47">
        <v>359.98140000000001</v>
      </c>
      <c r="K47">
        <v>354.75639999999999</v>
      </c>
      <c r="L47">
        <v>359.33760000000001</v>
      </c>
    </row>
    <row r="48" spans="1:12" x14ac:dyDescent="0.2">
      <c r="A48" s="1">
        <v>42976.611828703702</v>
      </c>
      <c r="B48">
        <v>1563.3409999999999</v>
      </c>
      <c r="C48">
        <v>15</v>
      </c>
      <c r="D48" t="s">
        <v>35</v>
      </c>
      <c r="E48" t="s">
        <v>6</v>
      </c>
      <c r="F48" t="s">
        <v>33</v>
      </c>
      <c r="G48">
        <v>-4.1100000000000003</v>
      </c>
      <c r="H48">
        <v>1.4</v>
      </c>
      <c r="I48">
        <v>0.09</v>
      </c>
      <c r="J48">
        <v>6.1489520000000004</v>
      </c>
      <c r="K48">
        <v>0.47799629999999999</v>
      </c>
      <c r="L48">
        <v>358.62540000000001</v>
      </c>
    </row>
    <row r="49" spans="1:12" x14ac:dyDescent="0.2">
      <c r="A49" s="1">
        <v>42976.612002314818</v>
      </c>
      <c r="B49">
        <v>1578.4549999999999</v>
      </c>
      <c r="C49">
        <v>15</v>
      </c>
      <c r="D49" t="s">
        <v>36</v>
      </c>
      <c r="E49" t="s">
        <v>6</v>
      </c>
      <c r="F49" t="s">
        <v>33</v>
      </c>
      <c r="G49">
        <v>-3.6226080000000001</v>
      </c>
      <c r="H49">
        <v>1.4</v>
      </c>
      <c r="I49">
        <v>-4.5202489999999997</v>
      </c>
      <c r="J49">
        <v>1.3374220000000001</v>
      </c>
      <c r="K49">
        <v>100.06570000000001</v>
      </c>
      <c r="L49">
        <v>358.04539999999997</v>
      </c>
    </row>
    <row r="50" spans="1:12" x14ac:dyDescent="0.2">
      <c r="A50" s="1">
        <v>42976.612013888887</v>
      </c>
      <c r="B50">
        <v>1579.895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1.4</v>
      </c>
      <c r="I50">
        <v>-0.67300000000000004</v>
      </c>
      <c r="J50">
        <v>1.53077</v>
      </c>
      <c r="K50">
        <v>94.772499999999994</v>
      </c>
      <c r="L50">
        <v>357.80700000000002</v>
      </c>
    </row>
    <row r="51" spans="1:12" x14ac:dyDescent="0.2">
      <c r="A51" s="1">
        <v>42976.612060185187</v>
      </c>
      <c r="B51">
        <v>1583.1420000000001</v>
      </c>
      <c r="C51">
        <v>16</v>
      </c>
      <c r="D51" t="s">
        <v>35</v>
      </c>
      <c r="E51" t="s">
        <v>4</v>
      </c>
      <c r="F51" t="s">
        <v>6</v>
      </c>
      <c r="G51">
        <v>3.8518150000000002</v>
      </c>
      <c r="H51">
        <v>1.4</v>
      </c>
      <c r="I51">
        <v>-0.66041930000000004</v>
      </c>
      <c r="J51">
        <v>9.6498439999999999</v>
      </c>
      <c r="K51">
        <v>195.55760000000001</v>
      </c>
      <c r="L51">
        <v>358.41840000000002</v>
      </c>
    </row>
    <row r="52" spans="1:12" x14ac:dyDescent="0.2">
      <c r="A52" s="1">
        <v>42976.61215277778</v>
      </c>
      <c r="B52">
        <v>1591.8630000000001</v>
      </c>
      <c r="C52">
        <v>16</v>
      </c>
      <c r="D52" t="s">
        <v>36</v>
      </c>
      <c r="E52" t="s">
        <v>4</v>
      </c>
      <c r="F52" t="s">
        <v>6</v>
      </c>
      <c r="G52">
        <v>-7.186528</v>
      </c>
      <c r="H52">
        <v>1.4</v>
      </c>
      <c r="I52">
        <v>-2.8021430000000001</v>
      </c>
      <c r="J52">
        <v>358.40890000000002</v>
      </c>
      <c r="K52">
        <v>164.49160000000001</v>
      </c>
      <c r="L52">
        <v>358.79880000000003</v>
      </c>
    </row>
    <row r="53" spans="1:12" x14ac:dyDescent="0.2">
      <c r="A53" s="1">
        <v>42976.612175925926</v>
      </c>
      <c r="B53">
        <v>1593.1679999999999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1.4</v>
      </c>
      <c r="I53">
        <v>1.8169999999999999</v>
      </c>
      <c r="J53">
        <v>0.29894379999999998</v>
      </c>
      <c r="K53">
        <v>163.99780000000001</v>
      </c>
      <c r="L53">
        <v>359.39850000000001</v>
      </c>
    </row>
    <row r="54" spans="1:12" x14ac:dyDescent="0.2">
      <c r="A54" s="1">
        <v>42976.612210648149</v>
      </c>
      <c r="B54">
        <v>1596.365</v>
      </c>
      <c r="C54">
        <v>17</v>
      </c>
      <c r="D54" t="s">
        <v>35</v>
      </c>
      <c r="E54" t="s">
        <v>3</v>
      </c>
      <c r="F54" t="s">
        <v>4</v>
      </c>
      <c r="G54">
        <v>3.3770250000000002</v>
      </c>
      <c r="H54">
        <v>1.4</v>
      </c>
      <c r="I54">
        <v>1.888822</v>
      </c>
      <c r="J54">
        <v>12.02467</v>
      </c>
      <c r="K54">
        <v>272.00689999999997</v>
      </c>
      <c r="L54">
        <v>1.321933</v>
      </c>
    </row>
    <row r="55" spans="1:12" x14ac:dyDescent="0.2">
      <c r="A55" s="1">
        <v>42976.612291666665</v>
      </c>
      <c r="B55">
        <v>1603.4960000000001</v>
      </c>
      <c r="C55">
        <v>17</v>
      </c>
      <c r="D55" t="s">
        <v>36</v>
      </c>
      <c r="E55" t="s">
        <v>3</v>
      </c>
      <c r="F55" t="s">
        <v>4</v>
      </c>
      <c r="G55">
        <v>8.1965470000000007</v>
      </c>
      <c r="H55">
        <v>1.4</v>
      </c>
      <c r="I55">
        <v>-2.0105819999999999</v>
      </c>
      <c r="J55">
        <v>359.87040000000002</v>
      </c>
      <c r="K55">
        <v>32.777839999999998</v>
      </c>
      <c r="L55">
        <v>0.96929929999999997</v>
      </c>
    </row>
    <row r="56" spans="1:12" x14ac:dyDescent="0.2">
      <c r="A56" s="1">
        <v>42976.612303240741</v>
      </c>
      <c r="B56">
        <v>1604.777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1.4</v>
      </c>
      <c r="I56">
        <v>-4.3440000000000003</v>
      </c>
      <c r="J56">
        <v>2.7568950000000001</v>
      </c>
      <c r="K56">
        <v>32.473010000000002</v>
      </c>
      <c r="L56">
        <v>359.79930000000002</v>
      </c>
    </row>
    <row r="57" spans="1:12" x14ac:dyDescent="0.2">
      <c r="A57" s="1">
        <v>42976.612326388888</v>
      </c>
      <c r="B57">
        <v>1606.652</v>
      </c>
      <c r="C57">
        <v>18</v>
      </c>
      <c r="D57" t="s">
        <v>35</v>
      </c>
      <c r="E57" t="s">
        <v>2</v>
      </c>
      <c r="F57" t="s">
        <v>0</v>
      </c>
      <c r="G57">
        <v>3.7349359999999998</v>
      </c>
      <c r="H57">
        <v>1.4</v>
      </c>
      <c r="I57">
        <v>-4.3336189999999997</v>
      </c>
      <c r="J57">
        <v>1.7793000000000001</v>
      </c>
      <c r="K57">
        <v>357.34140000000002</v>
      </c>
      <c r="L57">
        <v>0.85571419999999998</v>
      </c>
    </row>
    <row r="58" spans="1:12" x14ac:dyDescent="0.2">
      <c r="A58" s="1">
        <v>42976.612407407411</v>
      </c>
      <c r="B58">
        <v>1613.749</v>
      </c>
      <c r="C58">
        <v>18</v>
      </c>
      <c r="D58" t="s">
        <v>36</v>
      </c>
      <c r="E58" t="s">
        <v>2</v>
      </c>
      <c r="F58" t="s">
        <v>0</v>
      </c>
      <c r="G58">
        <v>-2.8043429999999998</v>
      </c>
      <c r="H58">
        <v>1.4</v>
      </c>
      <c r="I58">
        <v>-3.3331119999999999</v>
      </c>
      <c r="J58">
        <v>357.99509999999998</v>
      </c>
      <c r="K58">
        <v>188.1617</v>
      </c>
      <c r="L58">
        <v>0.61077680000000001</v>
      </c>
    </row>
    <row r="59" spans="1:12" x14ac:dyDescent="0.2">
      <c r="A59" s="1">
        <v>42976.612430555557</v>
      </c>
      <c r="B59">
        <v>1615.1220000000001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1.4</v>
      </c>
      <c r="I59">
        <v>-0.67300000000000004</v>
      </c>
      <c r="J59">
        <v>358.80509999999998</v>
      </c>
      <c r="K59">
        <v>184.26300000000001</v>
      </c>
      <c r="L59">
        <v>0.61438649999999995</v>
      </c>
    </row>
    <row r="60" spans="1:12" x14ac:dyDescent="0.2">
      <c r="A60" s="1">
        <v>42976.612442129626</v>
      </c>
      <c r="B60">
        <v>1616.8789999999999</v>
      </c>
      <c r="C60">
        <v>19</v>
      </c>
      <c r="D60" t="s">
        <v>35</v>
      </c>
      <c r="E60" t="s">
        <v>4</v>
      </c>
      <c r="F60" t="s">
        <v>6</v>
      </c>
      <c r="G60">
        <v>3.8969239999999998</v>
      </c>
      <c r="H60">
        <v>1.4</v>
      </c>
      <c r="I60">
        <v>-0.67242710000000006</v>
      </c>
      <c r="J60">
        <v>6.3070199999999996</v>
      </c>
      <c r="K60">
        <v>185.29990000000001</v>
      </c>
      <c r="L60">
        <v>0.84549600000000003</v>
      </c>
    </row>
    <row r="61" spans="1:12" x14ac:dyDescent="0.2">
      <c r="A61" s="1">
        <v>42976.612546296295</v>
      </c>
      <c r="B61">
        <v>1625.3320000000001</v>
      </c>
      <c r="C61">
        <v>19</v>
      </c>
      <c r="D61" t="s">
        <v>36</v>
      </c>
      <c r="E61" t="s">
        <v>4</v>
      </c>
      <c r="F61" t="s">
        <v>6</v>
      </c>
      <c r="G61">
        <v>-6.2808869999999999</v>
      </c>
      <c r="H61">
        <v>1.4</v>
      </c>
      <c r="I61">
        <v>-0.2879256</v>
      </c>
      <c r="J61">
        <v>359.10320000000002</v>
      </c>
      <c r="K61">
        <v>178.75550000000001</v>
      </c>
      <c r="L61">
        <v>358.02260000000001</v>
      </c>
    </row>
    <row r="62" spans="1:12" x14ac:dyDescent="0.2">
      <c r="A62" s="1">
        <v>42976.612557870372</v>
      </c>
      <c r="B62">
        <v>1626.3530000000001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1.4</v>
      </c>
      <c r="I62">
        <v>-1.4059999999999999</v>
      </c>
      <c r="J62">
        <v>0.43567620000000001</v>
      </c>
      <c r="K62">
        <v>176.62029999999999</v>
      </c>
      <c r="L62">
        <v>359.51280000000003</v>
      </c>
    </row>
    <row r="63" spans="1:12" x14ac:dyDescent="0.2">
      <c r="A63" s="1">
        <v>42976.612592592595</v>
      </c>
      <c r="B63">
        <v>1629.2819999999999</v>
      </c>
      <c r="C63">
        <v>20</v>
      </c>
      <c r="D63" t="s">
        <v>35</v>
      </c>
      <c r="E63" t="s">
        <v>33</v>
      </c>
      <c r="F63" t="s">
        <v>3</v>
      </c>
      <c r="G63">
        <v>-3.955117</v>
      </c>
      <c r="H63">
        <v>1.4</v>
      </c>
      <c r="I63">
        <v>-1.4014720000000001</v>
      </c>
      <c r="J63">
        <v>5.0402259999999997</v>
      </c>
      <c r="K63">
        <v>1.486526</v>
      </c>
      <c r="L63">
        <v>0.35689310000000002</v>
      </c>
    </row>
    <row r="64" spans="1:12" x14ac:dyDescent="0.2">
      <c r="A64" s="1">
        <v>42976.612685185188</v>
      </c>
      <c r="B64">
        <v>1638.02</v>
      </c>
      <c r="C64">
        <v>20</v>
      </c>
      <c r="D64" t="s">
        <v>36</v>
      </c>
      <c r="E64" t="s">
        <v>33</v>
      </c>
      <c r="F64" t="s">
        <v>3</v>
      </c>
      <c r="G64">
        <v>5.5517510000000003</v>
      </c>
      <c r="H64">
        <v>1.4</v>
      </c>
      <c r="I64">
        <v>2.8334890000000001</v>
      </c>
      <c r="J64">
        <v>359.33969999999999</v>
      </c>
      <c r="K64">
        <v>331.07650000000001</v>
      </c>
      <c r="L64">
        <v>358.92290000000003</v>
      </c>
    </row>
    <row r="65" spans="1:12" x14ac:dyDescent="0.2">
      <c r="A65" s="1">
        <v>42976.612708333334</v>
      </c>
      <c r="B65">
        <v>1639.4590000000001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1.4</v>
      </c>
      <c r="I65">
        <v>-4.117</v>
      </c>
      <c r="J65">
        <v>1.036341</v>
      </c>
      <c r="K65">
        <v>332.10239999999999</v>
      </c>
      <c r="L65">
        <v>358.23200000000003</v>
      </c>
    </row>
    <row r="66" spans="1:12" x14ac:dyDescent="0.2">
      <c r="A66" s="1">
        <v>42976.61273148148</v>
      </c>
      <c r="B66">
        <v>1641.2329999999999</v>
      </c>
      <c r="C66">
        <v>21</v>
      </c>
      <c r="D66" t="s">
        <v>35</v>
      </c>
      <c r="E66" t="s">
        <v>0</v>
      </c>
      <c r="F66" t="s">
        <v>1</v>
      </c>
      <c r="G66">
        <v>-0.5908525</v>
      </c>
      <c r="H66">
        <v>1.4</v>
      </c>
      <c r="I66">
        <v>-4.1619780000000004</v>
      </c>
      <c r="J66">
        <v>3.15144</v>
      </c>
      <c r="K66">
        <v>6.6689239999999996</v>
      </c>
      <c r="L66">
        <v>357.71359999999999</v>
      </c>
    </row>
    <row r="67" spans="1:12" x14ac:dyDescent="0.2">
      <c r="A67" s="1">
        <v>42976.612835648149</v>
      </c>
      <c r="B67">
        <v>1650.7059999999999</v>
      </c>
      <c r="C67">
        <v>21</v>
      </c>
      <c r="D67" t="s">
        <v>36</v>
      </c>
      <c r="E67" t="s">
        <v>0</v>
      </c>
      <c r="F67" t="s">
        <v>1</v>
      </c>
      <c r="G67">
        <v>-5.3459729999999999</v>
      </c>
      <c r="H67">
        <v>1.4</v>
      </c>
      <c r="I67">
        <v>4.6687380000000003</v>
      </c>
      <c r="J67">
        <v>1.3832279999999999</v>
      </c>
      <c r="K67">
        <v>248.40090000000001</v>
      </c>
      <c r="L67">
        <v>0.99105299999999996</v>
      </c>
    </row>
    <row r="68" spans="1:12" x14ac:dyDescent="0.2">
      <c r="A68" s="1">
        <v>42976.612858796296</v>
      </c>
      <c r="B68">
        <v>1652.547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1.4</v>
      </c>
      <c r="I68">
        <v>4.1399999999999997</v>
      </c>
      <c r="J68">
        <v>4.8916139999999997</v>
      </c>
      <c r="K68">
        <v>312.61290000000002</v>
      </c>
      <c r="L68">
        <v>0.1307673</v>
      </c>
    </row>
    <row r="69" spans="1:12" x14ac:dyDescent="0.2">
      <c r="A69" s="1">
        <v>42976.612881944442</v>
      </c>
      <c r="B69">
        <v>1654.3879999999999</v>
      </c>
      <c r="C69">
        <v>22</v>
      </c>
      <c r="D69" t="s">
        <v>35</v>
      </c>
      <c r="E69" t="s">
        <v>1</v>
      </c>
      <c r="F69" t="s">
        <v>5</v>
      </c>
      <c r="G69">
        <v>-3.9953660000000002</v>
      </c>
      <c r="H69">
        <v>1.4</v>
      </c>
      <c r="I69">
        <v>4.1481789999999998</v>
      </c>
      <c r="J69">
        <v>6.3998879999999998</v>
      </c>
      <c r="K69">
        <v>2.3747760000000002</v>
      </c>
      <c r="L69">
        <v>357.64269999999999</v>
      </c>
    </row>
    <row r="70" spans="1:12" x14ac:dyDescent="0.2">
      <c r="A70" s="1">
        <v>42976.612986111111</v>
      </c>
      <c r="B70">
        <v>1663.075</v>
      </c>
      <c r="C70">
        <v>22</v>
      </c>
      <c r="D70" t="s">
        <v>36</v>
      </c>
      <c r="E70" t="s">
        <v>1</v>
      </c>
      <c r="F70" t="s">
        <v>5</v>
      </c>
      <c r="G70">
        <v>4.7763239999999998</v>
      </c>
      <c r="H70">
        <v>1.4</v>
      </c>
      <c r="I70">
        <v>2.2842790000000002</v>
      </c>
      <c r="J70">
        <v>359.70490000000001</v>
      </c>
      <c r="K70">
        <v>350.7638</v>
      </c>
      <c r="L70">
        <v>355.4076</v>
      </c>
    </row>
    <row r="71" spans="1:12" x14ac:dyDescent="0.2">
      <c r="A71" s="1">
        <v>42976.612997685188</v>
      </c>
      <c r="B71">
        <v>1664.431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1.4</v>
      </c>
      <c r="I71">
        <v>0.09</v>
      </c>
      <c r="J71">
        <v>2.1694870000000002</v>
      </c>
      <c r="K71">
        <v>351.79219999999998</v>
      </c>
      <c r="L71">
        <v>359.16079999999999</v>
      </c>
    </row>
    <row r="72" spans="1:12" x14ac:dyDescent="0.2">
      <c r="A72" s="1">
        <v>42976.613020833334</v>
      </c>
      <c r="B72">
        <v>1666.0540000000001</v>
      </c>
      <c r="C72">
        <v>23</v>
      </c>
      <c r="D72" t="s">
        <v>35</v>
      </c>
      <c r="E72" t="s">
        <v>6</v>
      </c>
      <c r="F72" t="s">
        <v>33</v>
      </c>
      <c r="G72">
        <v>-4.1100000000000003</v>
      </c>
      <c r="H72">
        <v>1.4</v>
      </c>
      <c r="I72">
        <v>0.09</v>
      </c>
      <c r="J72">
        <v>2.820592</v>
      </c>
      <c r="K72">
        <v>0.92128270000000001</v>
      </c>
      <c r="L72">
        <v>357.7312</v>
      </c>
    </row>
    <row r="73" spans="1:12" x14ac:dyDescent="0.2">
      <c r="A73" s="1">
        <v>42976.61310185185</v>
      </c>
      <c r="B73">
        <v>1673.268</v>
      </c>
      <c r="C73">
        <v>23</v>
      </c>
      <c r="D73" t="s">
        <v>36</v>
      </c>
      <c r="E73" t="s">
        <v>6</v>
      </c>
      <c r="F73" t="s">
        <v>33</v>
      </c>
      <c r="G73">
        <v>-7.4603400000000004</v>
      </c>
      <c r="H73">
        <v>1.4</v>
      </c>
      <c r="I73">
        <v>-4.900118</v>
      </c>
      <c r="J73">
        <v>359.42290000000003</v>
      </c>
      <c r="K73">
        <v>100.2944</v>
      </c>
      <c r="L73">
        <v>359.4896</v>
      </c>
    </row>
    <row r="74" spans="1:12" x14ac:dyDescent="0.2">
      <c r="A74" s="1">
        <v>42976.613113425927</v>
      </c>
      <c r="B74">
        <v>1674.289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1.4</v>
      </c>
      <c r="I74">
        <v>2.7240000000000002</v>
      </c>
      <c r="J74">
        <v>1.037785</v>
      </c>
      <c r="K74">
        <v>104.194</v>
      </c>
      <c r="L74">
        <v>359.45569999999998</v>
      </c>
    </row>
    <row r="75" spans="1:12" x14ac:dyDescent="0.2">
      <c r="A75" s="1">
        <v>42976.613136574073</v>
      </c>
      <c r="B75">
        <v>1677.001</v>
      </c>
      <c r="C75">
        <v>24</v>
      </c>
      <c r="D75" t="s">
        <v>35</v>
      </c>
      <c r="E75" t="s">
        <v>5</v>
      </c>
      <c r="F75" t="s">
        <v>2</v>
      </c>
      <c r="G75">
        <v>0.27485769999999998</v>
      </c>
      <c r="H75">
        <v>1.4</v>
      </c>
      <c r="I75">
        <v>2.710766</v>
      </c>
      <c r="J75">
        <v>1.968226</v>
      </c>
      <c r="K75">
        <v>359.7346</v>
      </c>
      <c r="L75">
        <v>3.6004480000000001</v>
      </c>
    </row>
    <row r="76" spans="1:12" x14ac:dyDescent="0.2">
      <c r="A76" s="1">
        <v>42976.613263888888</v>
      </c>
      <c r="B76">
        <v>1687.2270000000001</v>
      </c>
      <c r="C76">
        <v>24</v>
      </c>
      <c r="D76" t="s">
        <v>36</v>
      </c>
      <c r="E76" t="s">
        <v>5</v>
      </c>
      <c r="F76" t="s">
        <v>2</v>
      </c>
      <c r="G76">
        <v>0.23986450000000001</v>
      </c>
      <c r="H76">
        <v>1.4</v>
      </c>
      <c r="I76">
        <v>-8.3795149999999996</v>
      </c>
      <c r="J76">
        <v>1.361686</v>
      </c>
      <c r="K76">
        <v>88.240970000000004</v>
      </c>
      <c r="L76">
        <v>357.22199999999998</v>
      </c>
    </row>
    <row r="77" spans="1:12" x14ac:dyDescent="0.2">
      <c r="A77" s="1">
        <v>42976.613275462965</v>
      </c>
      <c r="B77">
        <v>1688.248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1.4</v>
      </c>
      <c r="I77">
        <v>4.1399999999999997</v>
      </c>
      <c r="J77">
        <v>1.022797</v>
      </c>
      <c r="K77">
        <v>87.241739999999993</v>
      </c>
      <c r="L77">
        <v>358.86829999999998</v>
      </c>
    </row>
    <row r="78" spans="1:12" x14ac:dyDescent="0.2">
      <c r="A78" s="1">
        <v>42976.613310185188</v>
      </c>
      <c r="B78">
        <v>1691.8130000000001</v>
      </c>
      <c r="C78">
        <v>25</v>
      </c>
      <c r="D78" t="s">
        <v>35</v>
      </c>
      <c r="E78" t="s">
        <v>1</v>
      </c>
      <c r="F78" t="s">
        <v>5</v>
      </c>
      <c r="G78">
        <v>-3.6408299999999998</v>
      </c>
      <c r="H78">
        <v>1.4</v>
      </c>
      <c r="I78">
        <v>4.0957790000000003</v>
      </c>
      <c r="J78">
        <v>0.27857019999999999</v>
      </c>
      <c r="K78">
        <v>0.84732600000000002</v>
      </c>
      <c r="L78">
        <v>1.29878</v>
      </c>
    </row>
    <row r="79" spans="1:12" x14ac:dyDescent="0.2">
      <c r="A79" s="1">
        <v>42976.61341435185</v>
      </c>
      <c r="B79">
        <v>1700.115</v>
      </c>
      <c r="C79">
        <v>25</v>
      </c>
      <c r="D79" t="s">
        <v>36</v>
      </c>
      <c r="E79" t="s">
        <v>1</v>
      </c>
      <c r="F79" t="s">
        <v>5</v>
      </c>
      <c r="G79">
        <v>5.5972549999999996</v>
      </c>
      <c r="H79">
        <v>1.4</v>
      </c>
      <c r="I79">
        <v>3.260761</v>
      </c>
      <c r="J79">
        <v>357.9785</v>
      </c>
      <c r="K79">
        <v>6.1293839999999999</v>
      </c>
      <c r="L79">
        <v>358.51530000000002</v>
      </c>
    </row>
    <row r="80" spans="1:12" x14ac:dyDescent="0.2">
      <c r="A80" s="1">
        <v>42976.613425925927</v>
      </c>
      <c r="B80">
        <v>1701.136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1.4</v>
      </c>
      <c r="I80">
        <v>-0.67300000000000004</v>
      </c>
      <c r="J80">
        <v>359.6825</v>
      </c>
      <c r="K80">
        <v>6.2828939999999998</v>
      </c>
      <c r="L80">
        <v>3.3324259999999999E-3</v>
      </c>
    </row>
    <row r="81" spans="1:12" x14ac:dyDescent="0.2">
      <c r="A81" s="1">
        <v>42976.61346064815</v>
      </c>
      <c r="B81">
        <v>1704.501</v>
      </c>
      <c r="C81">
        <v>26</v>
      </c>
      <c r="D81" t="s">
        <v>35</v>
      </c>
      <c r="E81" t="s">
        <v>4</v>
      </c>
      <c r="F81" t="s">
        <v>6</v>
      </c>
      <c r="G81">
        <v>3.8647740000000002</v>
      </c>
      <c r="H81">
        <v>1.4</v>
      </c>
      <c r="I81">
        <v>-0.67317870000000002</v>
      </c>
      <c r="J81">
        <v>7.5525250000000002</v>
      </c>
      <c r="K81">
        <v>182.62139999999999</v>
      </c>
      <c r="L81">
        <v>1.749331</v>
      </c>
    </row>
    <row r="82" spans="1:12" x14ac:dyDescent="0.2">
      <c r="A82" s="1">
        <v>42976.613553240742</v>
      </c>
      <c r="B82">
        <v>1712.251</v>
      </c>
      <c r="C82">
        <v>26</v>
      </c>
      <c r="D82" t="s">
        <v>36</v>
      </c>
      <c r="E82" t="s">
        <v>4</v>
      </c>
      <c r="F82" t="s">
        <v>6</v>
      </c>
      <c r="G82">
        <v>-4.6943210000000004</v>
      </c>
      <c r="H82">
        <v>1.4</v>
      </c>
      <c r="I82">
        <v>-0.35681370000000001</v>
      </c>
      <c r="J82">
        <v>4.9431820000000002</v>
      </c>
      <c r="K82">
        <v>180.1987</v>
      </c>
      <c r="L82">
        <v>1.8511040000000001</v>
      </c>
    </row>
    <row r="83" spans="1:12" x14ac:dyDescent="0.2">
      <c r="A83" s="1">
        <v>42976.613564814812</v>
      </c>
      <c r="B83">
        <v>1713.4559999999999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1.4</v>
      </c>
      <c r="I83">
        <v>2.7240000000000002</v>
      </c>
      <c r="J83">
        <v>4.2705640000000002</v>
      </c>
      <c r="K83">
        <v>181.43729999999999</v>
      </c>
      <c r="L83">
        <v>359.90780000000001</v>
      </c>
    </row>
    <row r="84" spans="1:12" x14ac:dyDescent="0.2">
      <c r="A84" s="1">
        <v>42976.613599537035</v>
      </c>
      <c r="B84">
        <v>1716.2339999999999</v>
      </c>
      <c r="C84">
        <v>27</v>
      </c>
      <c r="D84" t="s">
        <v>35</v>
      </c>
      <c r="E84" t="s">
        <v>5</v>
      </c>
      <c r="F84" t="s">
        <v>2</v>
      </c>
      <c r="G84">
        <v>0.2409425</v>
      </c>
      <c r="H84">
        <v>1.4</v>
      </c>
      <c r="I84">
        <v>2.696469</v>
      </c>
      <c r="J84">
        <v>4.1099249999999996</v>
      </c>
      <c r="K84">
        <v>1.969122</v>
      </c>
      <c r="L84">
        <v>3.3179270000000001</v>
      </c>
    </row>
    <row r="85" spans="1:12" x14ac:dyDescent="0.2">
      <c r="A85" s="1">
        <v>42976.613692129627</v>
      </c>
      <c r="B85">
        <v>1724.1189999999999</v>
      </c>
      <c r="C85">
        <v>27</v>
      </c>
      <c r="D85" t="s">
        <v>36</v>
      </c>
      <c r="E85" t="s">
        <v>5</v>
      </c>
      <c r="F85" t="s">
        <v>2</v>
      </c>
      <c r="G85">
        <v>2.9887779999999999</v>
      </c>
      <c r="H85">
        <v>1.4</v>
      </c>
      <c r="I85">
        <v>-4.9346550000000002</v>
      </c>
      <c r="J85">
        <v>1.4987360000000001</v>
      </c>
      <c r="K85">
        <v>62.844499999999996</v>
      </c>
      <c r="L85">
        <v>359.19279999999998</v>
      </c>
    </row>
    <row r="86" spans="1:12" x14ac:dyDescent="0.2">
      <c r="A86" s="1">
        <v>42976.613703703704</v>
      </c>
      <c r="B86">
        <v>1725.123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1.4</v>
      </c>
      <c r="I86">
        <v>-4.117</v>
      </c>
      <c r="J86">
        <v>2.3095880000000002</v>
      </c>
      <c r="K86">
        <v>62.713349999999998</v>
      </c>
      <c r="L86">
        <v>0.1261331</v>
      </c>
    </row>
    <row r="87" spans="1:12" x14ac:dyDescent="0.2">
      <c r="A87" s="1">
        <v>42976.613715277781</v>
      </c>
      <c r="B87">
        <v>1726.914</v>
      </c>
      <c r="C87">
        <v>28</v>
      </c>
      <c r="D87" t="s">
        <v>35</v>
      </c>
      <c r="E87" t="s">
        <v>0</v>
      </c>
      <c r="F87" t="s">
        <v>1</v>
      </c>
      <c r="G87">
        <v>-0.82217770000000001</v>
      </c>
      <c r="H87">
        <v>1.4</v>
      </c>
      <c r="I87">
        <v>-4.1180669999999999</v>
      </c>
      <c r="J87">
        <v>2.2960509999999998</v>
      </c>
      <c r="K87">
        <v>2.0819930000000002</v>
      </c>
      <c r="L87">
        <v>1.8357749999999999</v>
      </c>
    </row>
    <row r="88" spans="1:12" x14ac:dyDescent="0.2">
      <c r="A88" s="1">
        <v>42976.613842592589</v>
      </c>
      <c r="B88">
        <v>1737.51</v>
      </c>
      <c r="C88">
        <v>28</v>
      </c>
      <c r="D88" t="s">
        <v>36</v>
      </c>
      <c r="E88" t="s">
        <v>0</v>
      </c>
      <c r="F88" t="s">
        <v>1</v>
      </c>
      <c r="G88">
        <v>-5.472048</v>
      </c>
      <c r="H88">
        <v>1.4</v>
      </c>
      <c r="I88">
        <v>6.5025849999999998</v>
      </c>
      <c r="J88">
        <v>4.8680300000000001</v>
      </c>
      <c r="K88">
        <v>349.92869999999999</v>
      </c>
      <c r="L88">
        <v>1.4584299999999999</v>
      </c>
    </row>
    <row r="89" spans="1:12" x14ac:dyDescent="0.2">
      <c r="A89" s="1">
        <v>42976.613854166666</v>
      </c>
      <c r="B89">
        <v>1738.5309999999999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1.4</v>
      </c>
      <c r="I89">
        <v>-1.4059999999999999</v>
      </c>
      <c r="J89">
        <v>1.0600510000000001</v>
      </c>
      <c r="K89">
        <v>352.77969999999999</v>
      </c>
      <c r="L89">
        <v>0.48464299999999999</v>
      </c>
    </row>
    <row r="90" spans="1:12" x14ac:dyDescent="0.2">
      <c r="A90" s="1">
        <v>42976.613877314812</v>
      </c>
      <c r="B90">
        <v>1740.489</v>
      </c>
      <c r="C90">
        <v>29</v>
      </c>
      <c r="D90" t="s">
        <v>35</v>
      </c>
      <c r="E90" t="s">
        <v>33</v>
      </c>
      <c r="F90" t="s">
        <v>3</v>
      </c>
      <c r="G90">
        <v>-3.6983860000000002</v>
      </c>
      <c r="H90">
        <v>1.4</v>
      </c>
      <c r="I90">
        <v>-1.3938630000000001</v>
      </c>
      <c r="J90">
        <v>10.528130000000001</v>
      </c>
      <c r="K90">
        <v>357.63490000000002</v>
      </c>
      <c r="L90">
        <v>0.3702703</v>
      </c>
    </row>
    <row r="91" spans="1:12" x14ac:dyDescent="0.2">
      <c r="A91" s="1">
        <v>42976.613993055558</v>
      </c>
      <c r="B91">
        <v>1750.6489999999999</v>
      </c>
      <c r="C91">
        <v>29</v>
      </c>
      <c r="D91" t="s">
        <v>36</v>
      </c>
      <c r="E91" t="s">
        <v>33</v>
      </c>
      <c r="F91" t="s">
        <v>3</v>
      </c>
      <c r="G91">
        <v>5.9526430000000001</v>
      </c>
      <c r="H91">
        <v>1.4</v>
      </c>
      <c r="I91">
        <v>4.2913309999999996</v>
      </c>
      <c r="J91">
        <v>357.20909999999998</v>
      </c>
      <c r="K91">
        <v>325.0163</v>
      </c>
      <c r="L91">
        <v>358.05369999999999</v>
      </c>
    </row>
    <row r="92" spans="1:12" x14ac:dyDescent="0.2">
      <c r="A92" s="1">
        <v>42976.614004629628</v>
      </c>
      <c r="B92">
        <v>1751.67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1.4</v>
      </c>
      <c r="I92">
        <v>0.09</v>
      </c>
      <c r="J92">
        <v>358.95620000000002</v>
      </c>
      <c r="K92">
        <v>323.93290000000002</v>
      </c>
      <c r="L92">
        <v>358.04250000000002</v>
      </c>
    </row>
    <row r="93" spans="1:12" x14ac:dyDescent="0.2">
      <c r="A93" s="1">
        <v>42976.614027777781</v>
      </c>
      <c r="B93">
        <v>1753.5039999999999</v>
      </c>
      <c r="C93">
        <v>30</v>
      </c>
      <c r="D93" t="s">
        <v>35</v>
      </c>
      <c r="E93" t="s">
        <v>6</v>
      </c>
      <c r="F93" t="s">
        <v>33</v>
      </c>
      <c r="G93">
        <v>-4.0656739999999996</v>
      </c>
      <c r="H93">
        <v>1.4</v>
      </c>
      <c r="I93">
        <v>8.4356029999999999E-2</v>
      </c>
      <c r="J93">
        <v>7.7244089999999996</v>
      </c>
      <c r="K93">
        <v>4.1815910000000001</v>
      </c>
      <c r="L93">
        <v>357.51</v>
      </c>
    </row>
    <row r="94" spans="1:12" x14ac:dyDescent="0.2">
      <c r="A94" s="1">
        <v>42976.614120370374</v>
      </c>
      <c r="B94">
        <v>1761.99</v>
      </c>
      <c r="C94">
        <v>30</v>
      </c>
      <c r="D94" t="s">
        <v>36</v>
      </c>
      <c r="E94" t="s">
        <v>6</v>
      </c>
      <c r="F94" t="s">
        <v>33</v>
      </c>
      <c r="G94">
        <v>-7.8893380000000004</v>
      </c>
      <c r="H94">
        <v>1.4</v>
      </c>
      <c r="I94">
        <v>-6.2062730000000004</v>
      </c>
      <c r="J94">
        <v>359.60629999999998</v>
      </c>
      <c r="K94">
        <v>110.895</v>
      </c>
      <c r="L94">
        <v>357.49189999999999</v>
      </c>
    </row>
    <row r="95" spans="1:12" x14ac:dyDescent="0.2">
      <c r="A95" s="1">
        <v>42976.61414351852</v>
      </c>
      <c r="B95">
        <v>1763.296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1.4</v>
      </c>
      <c r="I95">
        <v>-4.3440000000000003</v>
      </c>
      <c r="J95">
        <v>0.84070069999999997</v>
      </c>
      <c r="K95">
        <v>109.36320000000001</v>
      </c>
      <c r="L95">
        <v>358.74790000000002</v>
      </c>
    </row>
    <row r="96" spans="1:12" x14ac:dyDescent="0.2">
      <c r="A96" s="1">
        <v>42976.614166666666</v>
      </c>
      <c r="B96">
        <v>1765.9570000000001</v>
      </c>
      <c r="C96">
        <v>31</v>
      </c>
      <c r="D96" t="s">
        <v>35</v>
      </c>
      <c r="E96" t="s">
        <v>2</v>
      </c>
      <c r="F96" t="s">
        <v>0</v>
      </c>
      <c r="G96">
        <v>3.7330830000000002</v>
      </c>
      <c r="H96">
        <v>1.4</v>
      </c>
      <c r="I96">
        <v>-4.3375870000000001</v>
      </c>
      <c r="J96">
        <v>3.048905</v>
      </c>
      <c r="K96">
        <v>0.79069029999999996</v>
      </c>
      <c r="L96">
        <v>1.191967</v>
      </c>
    </row>
    <row r="97" spans="1:12" x14ac:dyDescent="0.2">
      <c r="A97" s="1">
        <v>42976.614293981482</v>
      </c>
      <c r="B97">
        <v>1776.1669999999999</v>
      </c>
      <c r="C97">
        <v>31</v>
      </c>
      <c r="D97" t="s">
        <v>36</v>
      </c>
      <c r="E97" t="s">
        <v>2</v>
      </c>
      <c r="F97" t="s">
        <v>0</v>
      </c>
      <c r="G97">
        <v>-6.9472829999999997</v>
      </c>
      <c r="H97">
        <v>1.4</v>
      </c>
      <c r="I97">
        <v>-2.428893</v>
      </c>
      <c r="J97">
        <v>1.5747390000000001</v>
      </c>
      <c r="K97">
        <v>186.2885</v>
      </c>
      <c r="L97">
        <v>0.85532870000000005</v>
      </c>
    </row>
    <row r="98" spans="1:12" x14ac:dyDescent="0.2">
      <c r="A98" s="1">
        <v>42976.614305555559</v>
      </c>
      <c r="B98">
        <v>1777.1880000000001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1.4</v>
      </c>
      <c r="I98">
        <v>1.8169999999999999</v>
      </c>
      <c r="J98">
        <v>0.78586400000000001</v>
      </c>
      <c r="K98">
        <v>186.82329999999999</v>
      </c>
      <c r="L98">
        <v>0.90545109999999995</v>
      </c>
    </row>
    <row r="99" spans="1:12" x14ac:dyDescent="0.2">
      <c r="A99" s="1">
        <v>42976.614328703705</v>
      </c>
      <c r="B99">
        <v>1779.9839999999999</v>
      </c>
      <c r="C99">
        <v>32</v>
      </c>
      <c r="D99" t="s">
        <v>35</v>
      </c>
      <c r="E99" t="s">
        <v>3</v>
      </c>
      <c r="F99" t="s">
        <v>4</v>
      </c>
      <c r="G99">
        <v>3.3776640000000002</v>
      </c>
      <c r="H99">
        <v>1.4</v>
      </c>
      <c r="I99">
        <v>1.9029290000000001</v>
      </c>
      <c r="J99">
        <v>9.0644200000000001</v>
      </c>
      <c r="K99">
        <v>272.50069999999999</v>
      </c>
      <c r="L99">
        <v>358.37610000000001</v>
      </c>
    </row>
    <row r="100" spans="1:12" x14ac:dyDescent="0.2">
      <c r="A100" s="1">
        <v>42976.614421296297</v>
      </c>
      <c r="B100">
        <v>1787.33</v>
      </c>
      <c r="C100">
        <v>32</v>
      </c>
      <c r="D100" t="s">
        <v>36</v>
      </c>
      <c r="E100" t="s">
        <v>3</v>
      </c>
      <c r="F100" t="s">
        <v>4</v>
      </c>
      <c r="G100">
        <v>7.7942070000000001</v>
      </c>
      <c r="H100">
        <v>1.4</v>
      </c>
      <c r="I100">
        <v>-2.2569810000000001</v>
      </c>
      <c r="J100">
        <v>2.6750099999999999</v>
      </c>
      <c r="K100">
        <v>44.089559999999999</v>
      </c>
      <c r="L100">
        <v>0.57713669999999995</v>
      </c>
    </row>
    <row r="101" spans="1:12" x14ac:dyDescent="0.2">
      <c r="A101" s="1">
        <v>42976.614432870374</v>
      </c>
      <c r="B101">
        <v>1788.502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1.4</v>
      </c>
      <c r="I101">
        <v>0.09</v>
      </c>
      <c r="J101">
        <v>3.2611889999999999</v>
      </c>
      <c r="K101">
        <v>41.100189999999998</v>
      </c>
      <c r="L101">
        <v>0.1213572</v>
      </c>
    </row>
    <row r="102" spans="1:12" x14ac:dyDescent="0.2">
      <c r="A102" s="1">
        <v>42976.61445601852</v>
      </c>
      <c r="B102">
        <v>1790.2760000000001</v>
      </c>
      <c r="C102">
        <v>33</v>
      </c>
      <c r="D102" t="s">
        <v>35</v>
      </c>
      <c r="E102" t="s">
        <v>6</v>
      </c>
      <c r="F102" t="s">
        <v>33</v>
      </c>
      <c r="G102">
        <v>-4.0394969999999999</v>
      </c>
      <c r="H102">
        <v>1.4</v>
      </c>
      <c r="I102">
        <v>9.1917890000000002E-2</v>
      </c>
      <c r="J102">
        <v>5.2930479999999998</v>
      </c>
      <c r="K102">
        <v>357.60770000000002</v>
      </c>
      <c r="L102">
        <v>1.207295</v>
      </c>
    </row>
    <row r="103" spans="1:12" x14ac:dyDescent="0.2">
      <c r="A103" s="1">
        <v>42976.614537037036</v>
      </c>
      <c r="B103">
        <v>1797.289</v>
      </c>
      <c r="C103">
        <v>33</v>
      </c>
      <c r="D103" t="s">
        <v>36</v>
      </c>
      <c r="E103" t="s">
        <v>6</v>
      </c>
      <c r="F103" t="s">
        <v>33</v>
      </c>
      <c r="G103">
        <v>-7.3118800000000004</v>
      </c>
      <c r="H103">
        <v>1.4</v>
      </c>
      <c r="I103">
        <v>-5.9566109999999997</v>
      </c>
      <c r="J103">
        <v>0.82977690000000004</v>
      </c>
      <c r="K103">
        <v>66.848860000000002</v>
      </c>
      <c r="L103">
        <v>355.67090000000002</v>
      </c>
    </row>
    <row r="104" spans="1:12" x14ac:dyDescent="0.2">
      <c r="A104" s="1">
        <v>42976.614548611113</v>
      </c>
      <c r="B104">
        <v>1798.6610000000001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1.4</v>
      </c>
      <c r="I104">
        <v>-0.67300000000000004</v>
      </c>
      <c r="J104">
        <v>3.8520059999999998</v>
      </c>
      <c r="K104">
        <v>57.161169999999998</v>
      </c>
      <c r="L104">
        <v>359.01519999999999</v>
      </c>
    </row>
    <row r="105" spans="1:12" x14ac:dyDescent="0.2">
      <c r="A105" s="1">
        <v>42976.614583333336</v>
      </c>
      <c r="B105">
        <v>1801.49</v>
      </c>
      <c r="C105">
        <v>34</v>
      </c>
      <c r="D105" t="s">
        <v>35</v>
      </c>
      <c r="E105" t="s">
        <v>4</v>
      </c>
      <c r="F105" t="s">
        <v>6</v>
      </c>
      <c r="G105">
        <v>3.8607930000000001</v>
      </c>
      <c r="H105">
        <v>1.4</v>
      </c>
      <c r="I105">
        <v>-0.68401319999999999</v>
      </c>
      <c r="J105">
        <v>4.2683929999999997</v>
      </c>
      <c r="K105">
        <v>190.69800000000001</v>
      </c>
      <c r="L105">
        <v>0.50608260000000005</v>
      </c>
    </row>
    <row r="106" spans="1:12" x14ac:dyDescent="0.2">
      <c r="A106" s="1">
        <v>42976.614687499998</v>
      </c>
      <c r="B106">
        <v>1810.88</v>
      </c>
      <c r="C106">
        <v>34</v>
      </c>
      <c r="D106" t="s">
        <v>36</v>
      </c>
      <c r="E106" t="s">
        <v>4</v>
      </c>
      <c r="F106" t="s">
        <v>6</v>
      </c>
      <c r="G106">
        <v>-7.560238</v>
      </c>
      <c r="H106">
        <v>1.4</v>
      </c>
      <c r="I106">
        <v>-1.423797</v>
      </c>
      <c r="J106">
        <v>0.74592020000000003</v>
      </c>
      <c r="K106">
        <v>169.44970000000001</v>
      </c>
      <c r="L106">
        <v>358.70819999999998</v>
      </c>
    </row>
    <row r="107" spans="1:12" x14ac:dyDescent="0.2">
      <c r="A107" s="1">
        <v>42976.614699074074</v>
      </c>
      <c r="B107">
        <v>1811.9010000000001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1.4</v>
      </c>
      <c r="I107">
        <v>2.7240000000000002</v>
      </c>
      <c r="J107">
        <v>2.1106129999999999</v>
      </c>
      <c r="K107">
        <v>171.05959999999999</v>
      </c>
      <c r="L107">
        <v>359.05079999999998</v>
      </c>
    </row>
    <row r="108" spans="1:12" x14ac:dyDescent="0.2">
      <c r="A108" s="1">
        <v>42976.614733796298</v>
      </c>
      <c r="B108">
        <v>1814.546</v>
      </c>
      <c r="C108">
        <v>35</v>
      </c>
      <c r="D108" t="s">
        <v>35</v>
      </c>
      <c r="E108" t="s">
        <v>5</v>
      </c>
      <c r="F108" t="s">
        <v>2</v>
      </c>
      <c r="G108">
        <v>0.76297749999999998</v>
      </c>
      <c r="H108">
        <v>1.4</v>
      </c>
      <c r="I108">
        <v>2.6306159999999998</v>
      </c>
      <c r="J108">
        <v>0.25639519999999999</v>
      </c>
      <c r="K108">
        <v>348.72609999999997</v>
      </c>
      <c r="L108">
        <v>6.5271749999999997</v>
      </c>
    </row>
    <row r="109" spans="1:12" x14ac:dyDescent="0.2">
      <c r="A109" s="1">
        <v>42976.614849537036</v>
      </c>
      <c r="B109">
        <v>1824.521</v>
      </c>
      <c r="C109">
        <v>35</v>
      </c>
      <c r="D109" t="s">
        <v>36</v>
      </c>
      <c r="E109" t="s">
        <v>5</v>
      </c>
      <c r="F109" t="s">
        <v>2</v>
      </c>
      <c r="G109">
        <v>7.2155880000000003</v>
      </c>
      <c r="H109">
        <v>1.4</v>
      </c>
      <c r="I109">
        <v>-6.240602</v>
      </c>
      <c r="J109">
        <v>358.1472</v>
      </c>
      <c r="K109">
        <v>19.255700000000001</v>
      </c>
      <c r="L109">
        <v>1.2045790000000001</v>
      </c>
    </row>
    <row r="110" spans="1:12" x14ac:dyDescent="0.2">
      <c r="A110" s="1">
        <v>42976.614861111113</v>
      </c>
      <c r="B110">
        <v>1825.5419999999999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1.4</v>
      </c>
      <c r="I110">
        <v>1.8169999999999999</v>
      </c>
      <c r="J110">
        <v>359.95760000000001</v>
      </c>
      <c r="K110">
        <v>19.886710000000001</v>
      </c>
      <c r="L110">
        <v>1.0540039999999999</v>
      </c>
    </row>
    <row r="111" spans="1:12" x14ac:dyDescent="0.2">
      <c r="A111" s="1">
        <v>42976.614895833336</v>
      </c>
      <c r="B111">
        <v>1828.07</v>
      </c>
      <c r="C111">
        <v>36</v>
      </c>
      <c r="D111" t="s">
        <v>35</v>
      </c>
      <c r="E111" t="s">
        <v>3</v>
      </c>
      <c r="F111" t="s">
        <v>4</v>
      </c>
      <c r="G111">
        <v>3.342482</v>
      </c>
      <c r="H111">
        <v>1.4</v>
      </c>
      <c r="I111">
        <v>2.3013859999999999</v>
      </c>
      <c r="J111">
        <v>8.1389530000000008</v>
      </c>
      <c r="K111">
        <v>270.2414</v>
      </c>
      <c r="L111">
        <v>3.4029129999999999</v>
      </c>
    </row>
    <row r="112" spans="1:12" x14ac:dyDescent="0.2">
      <c r="A112" s="1">
        <v>42976.614976851852</v>
      </c>
      <c r="B112">
        <v>1835.251</v>
      </c>
      <c r="C112">
        <v>36</v>
      </c>
      <c r="D112" t="s">
        <v>36</v>
      </c>
      <c r="E112" t="s">
        <v>3</v>
      </c>
      <c r="F112" t="s">
        <v>4</v>
      </c>
      <c r="G112">
        <v>8.7385350000000006</v>
      </c>
      <c r="H112">
        <v>1.4</v>
      </c>
      <c r="I112">
        <v>-3.2061869999999999</v>
      </c>
      <c r="J112">
        <v>3.8347600000000002</v>
      </c>
      <c r="K112">
        <v>40.85284</v>
      </c>
      <c r="L112">
        <v>2.7409119999999998</v>
      </c>
    </row>
    <row r="113" spans="1:12" x14ac:dyDescent="0.2">
      <c r="A113" s="1">
        <v>42976.614988425928</v>
      </c>
      <c r="B113">
        <v>1836.422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1.4</v>
      </c>
      <c r="I113">
        <v>0.09</v>
      </c>
      <c r="J113">
        <v>4.7938590000000003</v>
      </c>
      <c r="K113">
        <v>40.814160000000001</v>
      </c>
      <c r="L113">
        <v>1.726148</v>
      </c>
    </row>
    <row r="114" spans="1:12" x14ac:dyDescent="0.2">
      <c r="A114" s="1">
        <v>42976.614999999998</v>
      </c>
      <c r="B114">
        <v>1837.962</v>
      </c>
      <c r="C114">
        <v>37</v>
      </c>
      <c r="D114" t="s">
        <v>35</v>
      </c>
      <c r="E114" t="s">
        <v>6</v>
      </c>
      <c r="F114" t="s">
        <v>33</v>
      </c>
      <c r="G114">
        <v>-4.1069870000000002</v>
      </c>
      <c r="H114">
        <v>1.4</v>
      </c>
      <c r="I114">
        <v>8.9808170000000007E-2</v>
      </c>
      <c r="J114">
        <v>1.4792240000000001</v>
      </c>
      <c r="K114">
        <v>5.2816679999999998</v>
      </c>
      <c r="L114">
        <v>359.13150000000002</v>
      </c>
    </row>
    <row r="115" spans="1:12" x14ac:dyDescent="0.2">
      <c r="A115" s="1">
        <v>42976.61509259259</v>
      </c>
      <c r="B115">
        <v>1845.6610000000001</v>
      </c>
      <c r="C115">
        <v>37</v>
      </c>
      <c r="D115" t="s">
        <v>36</v>
      </c>
      <c r="E115" t="s">
        <v>6</v>
      </c>
      <c r="F115" t="s">
        <v>33</v>
      </c>
      <c r="G115">
        <v>-9.5743600000000004</v>
      </c>
      <c r="H115">
        <v>1.4</v>
      </c>
      <c r="I115">
        <v>-6.2558769999999999</v>
      </c>
      <c r="J115">
        <v>5.2952950000000003</v>
      </c>
      <c r="K115">
        <v>129.0487</v>
      </c>
      <c r="L115">
        <v>359.46620000000001</v>
      </c>
    </row>
    <row r="116" spans="1:12" x14ac:dyDescent="0.2">
      <c r="A116" s="1">
        <v>42976.615104166667</v>
      </c>
      <c r="B116">
        <v>1846.866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1.4</v>
      </c>
      <c r="I116">
        <v>-4.3440000000000003</v>
      </c>
      <c r="J116">
        <v>5.1689590000000001</v>
      </c>
      <c r="K116">
        <v>128.0299</v>
      </c>
      <c r="L116">
        <v>1.0149919999999999</v>
      </c>
    </row>
    <row r="117" spans="1:12" x14ac:dyDescent="0.2">
      <c r="A117" s="1">
        <v>42976.615127314813</v>
      </c>
      <c r="B117">
        <v>1848.9079999999999</v>
      </c>
      <c r="C117">
        <v>38</v>
      </c>
      <c r="D117" t="s">
        <v>35</v>
      </c>
      <c r="E117" t="s">
        <v>2</v>
      </c>
      <c r="F117" t="s">
        <v>0</v>
      </c>
      <c r="G117">
        <v>3.542351</v>
      </c>
      <c r="H117">
        <v>1.4</v>
      </c>
      <c r="I117">
        <v>-4.3701670000000004</v>
      </c>
      <c r="J117">
        <v>0.47043960000000001</v>
      </c>
      <c r="K117">
        <v>353.5369</v>
      </c>
      <c r="L117">
        <v>5.8857359999999996</v>
      </c>
    </row>
    <row r="118" spans="1:12" x14ac:dyDescent="0.2">
      <c r="A118" s="1">
        <v>42976.615243055552</v>
      </c>
      <c r="B118">
        <v>1858.3309999999999</v>
      </c>
      <c r="C118">
        <v>38</v>
      </c>
      <c r="D118" t="s">
        <v>36</v>
      </c>
      <c r="E118" t="s">
        <v>2</v>
      </c>
      <c r="F118" t="s">
        <v>0</v>
      </c>
      <c r="G118">
        <v>-3.9017780000000002</v>
      </c>
      <c r="H118">
        <v>1.4</v>
      </c>
      <c r="I118">
        <v>-7.7270479999999999</v>
      </c>
      <c r="J118">
        <v>359.47570000000002</v>
      </c>
      <c r="K118">
        <v>152.5591</v>
      </c>
      <c r="L118">
        <v>1.0202150000000001</v>
      </c>
    </row>
    <row r="119" spans="1:12" x14ac:dyDescent="0.2">
      <c r="A119" s="1">
        <v>42976.615254629629</v>
      </c>
      <c r="B119">
        <v>1859.62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1.4</v>
      </c>
      <c r="I119">
        <v>4.1399999999999997</v>
      </c>
      <c r="J119">
        <v>0.92231569999999996</v>
      </c>
      <c r="K119">
        <v>152.589</v>
      </c>
      <c r="L119">
        <v>1.3076559999999999</v>
      </c>
    </row>
    <row r="120" spans="1:12" x14ac:dyDescent="0.2">
      <c r="A120" s="1">
        <v>42976.615289351852</v>
      </c>
      <c r="B120">
        <v>1862.248</v>
      </c>
      <c r="C120">
        <v>39</v>
      </c>
      <c r="D120" t="s">
        <v>35</v>
      </c>
      <c r="E120" t="s">
        <v>1</v>
      </c>
      <c r="F120" t="s">
        <v>5</v>
      </c>
      <c r="G120">
        <v>-3.9978250000000002</v>
      </c>
      <c r="H120">
        <v>1.4</v>
      </c>
      <c r="I120">
        <v>4.1232090000000001</v>
      </c>
      <c r="J120">
        <v>3.0676359999999998</v>
      </c>
      <c r="K120">
        <v>355.83670000000001</v>
      </c>
      <c r="L120">
        <v>2.7754810000000001</v>
      </c>
    </row>
    <row r="121" spans="1:12" x14ac:dyDescent="0.2">
      <c r="A121" s="1">
        <v>42976.615393518521</v>
      </c>
      <c r="B121">
        <v>1871.5709999999999</v>
      </c>
      <c r="C121">
        <v>39</v>
      </c>
      <c r="D121" t="s">
        <v>36</v>
      </c>
      <c r="E121" t="s">
        <v>1</v>
      </c>
      <c r="F121" t="s">
        <v>5</v>
      </c>
      <c r="G121">
        <v>5.4465170000000001</v>
      </c>
      <c r="H121">
        <v>1.4</v>
      </c>
      <c r="I121">
        <v>0.14116500000000001</v>
      </c>
      <c r="J121">
        <v>358.01389999999998</v>
      </c>
      <c r="K121">
        <v>2.082757</v>
      </c>
      <c r="L121">
        <v>359.18329999999997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-13.673970000000001</v>
      </c>
      <c r="G2" s="3">
        <f>VLOOKUP($A2,'Summary Data (40)'!$C$2:$L$249,6,1)</f>
        <v>1.4</v>
      </c>
      <c r="H2" s="3">
        <f>VLOOKUP($A2,'Summary Data (40)'!$C$2:$L$249,7,1)</f>
        <v>5.0067069999999996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15.738368275737768</v>
      </c>
      <c r="N2" s="3">
        <f t="shared" ref="N2:N41" si="1">ABS(SQRT((F2-C2)^2+(H2-E2)^2))</f>
        <v>19.568617478011806</v>
      </c>
      <c r="O2" s="3">
        <f t="shared" ref="O2:O41" si="2">ABS(SQRT((J2-C2)^2+(L2-E2)^2))</f>
        <v>4.3718971854333439</v>
      </c>
      <c r="P2" s="3">
        <f t="shared" ref="P2:P41" si="3">(N2-O2)</f>
        <v>15.196720292578462</v>
      </c>
      <c r="Q2" s="5">
        <f t="shared" ref="Q2:Q41" si="4">P2/O2</f>
        <v>3.4760012982949777</v>
      </c>
      <c r="R2" s="3">
        <f t="shared" ref="R2:R41" si="5">ATAN2(J2-C2,L2-E2)*180/PI()</f>
        <v>177.02371934116897</v>
      </c>
      <c r="S2" s="3">
        <f t="shared" ref="S2:S41" si="6">ATAN2(F2-C2,H2-E2)*180/PI()</f>
        <v>151.45544680896336</v>
      </c>
      <c r="T2" s="3">
        <f t="shared" ref="T2:T41" si="7">IF(ABS(R2-S2)&gt;180,360-ABS(R2-S2),ABS(R2-S2))</f>
        <v>25.568272532205611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-2.4423339999999998</v>
      </c>
      <c r="G3" s="3">
        <f>VLOOKUP($A3,'Summary Data (40)'!$C$2:$L$249,6,1)</f>
        <v>1.4</v>
      </c>
      <c r="H3" s="3">
        <f>VLOOKUP($A3,'Summary Data (40)'!$C$2:$L$249,7,1)</f>
        <v>-1.239476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6.7186169203290644</v>
      </c>
      <c r="N3" s="3">
        <f t="shared" si="1"/>
        <v>4.6639626990502396</v>
      </c>
      <c r="O3" s="3">
        <f t="shared" si="2"/>
        <v>7.8871175977032326</v>
      </c>
      <c r="P3" s="3">
        <f t="shared" si="3"/>
        <v>-3.223154898652993</v>
      </c>
      <c r="Q3" s="5">
        <f t="shared" si="4"/>
        <v>-0.40866068734560157</v>
      </c>
      <c r="R3" s="3">
        <f t="shared" si="5"/>
        <v>-63.65586590726528</v>
      </c>
      <c r="S3" s="3">
        <f t="shared" si="6"/>
        <v>-121.80913318506448</v>
      </c>
      <c r="T3" s="3">
        <f t="shared" si="7"/>
        <v>58.153267277799202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7.5431939999999997</v>
      </c>
      <c r="G4" s="3">
        <f>VLOOKUP($A4,'Summary Data (40)'!$C$2:$L$249,6,1)</f>
        <v>1.4</v>
      </c>
      <c r="H4" s="3">
        <f>VLOOKUP($A4,'Summary Data (40)'!$C$2:$L$249,7,1)</f>
        <v>-1.491681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5.3233342894652962</v>
      </c>
      <c r="N4" s="3">
        <f t="shared" si="1"/>
        <v>11.52451250957701</v>
      </c>
      <c r="O4" s="3">
        <f t="shared" si="2"/>
        <v>8.0292617967033557</v>
      </c>
      <c r="P4" s="3">
        <f t="shared" si="3"/>
        <v>3.4952507128736539</v>
      </c>
      <c r="Q4" s="5">
        <f t="shared" si="4"/>
        <v>0.4353140800949758</v>
      </c>
      <c r="R4" s="3">
        <f t="shared" si="5"/>
        <v>23.666151625811782</v>
      </c>
      <c r="S4" s="3">
        <f t="shared" si="6"/>
        <v>-0.4259793988367705</v>
      </c>
      <c r="T4" s="3">
        <f t="shared" si="7"/>
        <v>24.092131024648552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3.457125</v>
      </c>
      <c r="G5" s="3">
        <f>VLOOKUP($A5,'Summary Data (40)'!$C$2:$L$249,6,1)</f>
        <v>1.4</v>
      </c>
      <c r="H5" s="3">
        <f>VLOOKUP($A5,'Summary Data (40)'!$C$2:$L$249,7,1)</f>
        <v>-0.482655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8.8409342981751653</v>
      </c>
      <c r="N5" s="3">
        <f t="shared" si="1"/>
        <v>5.6355824317145782</v>
      </c>
      <c r="O5" s="3">
        <f t="shared" si="2"/>
        <v>8.8659173242253964</v>
      </c>
      <c r="P5" s="3">
        <f t="shared" si="3"/>
        <v>-3.2303348925108182</v>
      </c>
      <c r="Q5" s="5">
        <f t="shared" si="4"/>
        <v>-0.36435427653765634</v>
      </c>
      <c r="R5" s="3">
        <f t="shared" si="5"/>
        <v>111.35858600069317</v>
      </c>
      <c r="S5" s="3">
        <f t="shared" si="6"/>
        <v>40.157618051570793</v>
      </c>
      <c r="T5" s="3">
        <f t="shared" si="7"/>
        <v>71.200967949122372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-5.3467770000000003</v>
      </c>
      <c r="G6" s="3">
        <f>VLOOKUP($A6,'Summary Data (40)'!$C$2:$L$249,6,1)</f>
        <v>1.4</v>
      </c>
      <c r="H6" s="3">
        <f>VLOOKUP($A6,'Summary Data (40)'!$C$2:$L$249,7,1)</f>
        <v>1.0278369999999999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9.4196039916919005</v>
      </c>
      <c r="N6" s="3">
        <f t="shared" si="1"/>
        <v>8.755414848555036</v>
      </c>
      <c r="O6" s="3">
        <f t="shared" si="2"/>
        <v>2.5489458605470614</v>
      </c>
      <c r="P6" s="3">
        <f t="shared" si="3"/>
        <v>6.2064689880079751</v>
      </c>
      <c r="Q6" s="5">
        <f t="shared" si="4"/>
        <v>2.4349159721563982</v>
      </c>
      <c r="R6" s="3">
        <f t="shared" si="5"/>
        <v>-77.654050540796021</v>
      </c>
      <c r="S6" s="3">
        <f t="shared" si="6"/>
        <v>-174.82866792336975</v>
      </c>
      <c r="T6" s="3">
        <f t="shared" si="7"/>
        <v>97.174617382573729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-5.363448</v>
      </c>
      <c r="G7" s="3">
        <f>VLOOKUP($A7,'Summary Data (40)'!$C$2:$L$249,6,1)</f>
        <v>1.4</v>
      </c>
      <c r="H7" s="3">
        <f>VLOOKUP($A7,'Summary Data (40)'!$C$2:$L$249,7,1)</f>
        <v>5.8934199999999999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10.980879811067235</v>
      </c>
      <c r="N7" s="3">
        <f t="shared" si="1"/>
        <v>13.551729226969671</v>
      </c>
      <c r="O7" s="3">
        <f t="shared" si="2"/>
        <v>4.3718971854333439</v>
      </c>
      <c r="P7" s="3">
        <f t="shared" si="3"/>
        <v>9.1798320415363275</v>
      </c>
      <c r="Q7" s="5">
        <f t="shared" si="4"/>
        <v>2.0997364878850462</v>
      </c>
      <c r="R7" s="3">
        <f t="shared" si="5"/>
        <v>177.02371934116897</v>
      </c>
      <c r="S7" s="3">
        <f t="shared" si="6"/>
        <v>130.93680361105092</v>
      </c>
      <c r="T7" s="3">
        <f t="shared" si="7"/>
        <v>46.086915730118051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5.6442439999999996</v>
      </c>
      <c r="G8" s="3">
        <f>VLOOKUP($A8,'Summary Data (40)'!$C$2:$L$249,6,1)</f>
        <v>1.4</v>
      </c>
      <c r="H8" s="3">
        <f>VLOOKUP($A8,'Summary Data (40)'!$C$2:$L$249,7,1)</f>
        <v>3.6057389999999998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10.851859281416109</v>
      </c>
      <c r="N8" s="3">
        <f t="shared" si="1"/>
        <v>10.368495393626647</v>
      </c>
      <c r="O8" s="3">
        <f t="shared" si="2"/>
        <v>1.5015515309172709</v>
      </c>
      <c r="P8" s="3">
        <f t="shared" si="3"/>
        <v>8.8669438627093768</v>
      </c>
      <c r="Q8" s="5">
        <f t="shared" si="4"/>
        <v>5.9051878541209435</v>
      </c>
      <c r="R8" s="3">
        <f t="shared" si="5"/>
        <v>-85.071579131103505</v>
      </c>
      <c r="S8" s="3">
        <f t="shared" si="6"/>
        <v>19.820771422836156</v>
      </c>
      <c r="T8" s="3">
        <f t="shared" si="7"/>
        <v>104.89235055393966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4.1504180000000002</v>
      </c>
      <c r="G9" s="3">
        <f>VLOOKUP($A9,'Summary Data (40)'!$C$2:$L$249,6,1)</f>
        <v>1.4</v>
      </c>
      <c r="H9" s="3">
        <f>VLOOKUP($A9,'Summary Data (40)'!$C$2:$L$249,7,1)</f>
        <v>-0.65214729999999999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9.5230245386442895</v>
      </c>
      <c r="N9" s="3">
        <f t="shared" si="1"/>
        <v>6.0835338749300387</v>
      </c>
      <c r="O9" s="3">
        <f t="shared" si="2"/>
        <v>8.8659173242253964</v>
      </c>
      <c r="P9" s="3">
        <f t="shared" si="3"/>
        <v>-2.7823834492953576</v>
      </c>
      <c r="Q9" s="5">
        <f t="shared" si="4"/>
        <v>-0.31382916708378517</v>
      </c>
      <c r="R9" s="3">
        <f t="shared" si="5"/>
        <v>111.35858600069317</v>
      </c>
      <c r="S9" s="3">
        <f t="shared" si="6"/>
        <v>34.718576635800339</v>
      </c>
      <c r="T9" s="3">
        <f t="shared" si="7"/>
        <v>76.640009364892819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-3.3342489999999998</v>
      </c>
      <c r="G10" s="3">
        <f>VLOOKUP($A10,'Summary Data (40)'!$C$2:$L$249,6,1)</f>
        <v>1.4</v>
      </c>
      <c r="H10" s="3">
        <f>VLOOKUP($A10,'Summary Data (40)'!$C$2:$L$249,7,1)</f>
        <v>-3.0961780000000001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6.9629714278952051</v>
      </c>
      <c r="N10" s="3">
        <f t="shared" si="1"/>
        <v>6.7155521227733015</v>
      </c>
      <c r="O10" s="3">
        <f t="shared" si="2"/>
        <v>7.8871175977032326</v>
      </c>
      <c r="P10" s="3">
        <f t="shared" si="3"/>
        <v>-1.1715654749299311</v>
      </c>
      <c r="Q10" s="5">
        <f t="shared" si="4"/>
        <v>-0.14854165167653854</v>
      </c>
      <c r="R10" s="3">
        <f t="shared" si="5"/>
        <v>-63.65586590726528</v>
      </c>
      <c r="S10" s="3">
        <f t="shared" si="6"/>
        <v>-119.92587346699153</v>
      </c>
      <c r="T10" s="3">
        <f t="shared" si="7"/>
        <v>56.270007559726253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5.6242510000000001</v>
      </c>
      <c r="G11" s="3">
        <f>VLOOKUP($A11,'Summary Data (40)'!$C$2:$L$249,6,1)</f>
        <v>1.4</v>
      </c>
      <c r="H11" s="3">
        <f>VLOOKUP($A11,'Summary Data (40)'!$C$2:$L$249,7,1)</f>
        <v>3.6242969999999999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10.842727271365355</v>
      </c>
      <c r="N11" s="3">
        <f t="shared" si="1"/>
        <v>10.356007812627896</v>
      </c>
      <c r="O11" s="3">
        <f t="shared" si="2"/>
        <v>1.5015515309172709</v>
      </c>
      <c r="P11" s="3">
        <f t="shared" si="3"/>
        <v>8.8544562817106254</v>
      </c>
      <c r="Q11" s="5">
        <f t="shared" si="4"/>
        <v>5.8968714022765489</v>
      </c>
      <c r="R11" s="3">
        <f t="shared" si="5"/>
        <v>-85.071579131103505</v>
      </c>
      <c r="S11" s="3">
        <f t="shared" si="6"/>
        <v>19.954869856632357</v>
      </c>
      <c r="T11" s="3">
        <f t="shared" si="7"/>
        <v>105.02644898773586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6.405716</v>
      </c>
      <c r="G12" s="3">
        <f>VLOOKUP($A12,'Summary Data (40)'!$C$2:$L$249,6,1)</f>
        <v>1.4</v>
      </c>
      <c r="H12" s="3">
        <f>VLOOKUP($A12,'Summary Data (40)'!$C$2:$L$249,7,1)</f>
        <v>-4.2855509999999999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9.4848445312644429</v>
      </c>
      <c r="N12" s="3">
        <f t="shared" si="1"/>
        <v>13.4506200323352</v>
      </c>
      <c r="O12" s="3">
        <f t="shared" si="2"/>
        <v>4.3329067610554466</v>
      </c>
      <c r="P12" s="3">
        <f t="shared" si="3"/>
        <v>9.1177132712797544</v>
      </c>
      <c r="Q12" s="5">
        <f t="shared" si="4"/>
        <v>2.1042948242576038</v>
      </c>
      <c r="R12" s="3">
        <f t="shared" si="5"/>
        <v>-19.074748100261683</v>
      </c>
      <c r="S12" s="3">
        <f t="shared" si="6"/>
        <v>-38.785469110022454</v>
      </c>
      <c r="T12" s="3">
        <f t="shared" si="7"/>
        <v>19.710721009760771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-6.1543380000000001</v>
      </c>
      <c r="G13" s="3">
        <f>VLOOKUP($A13,'Summary Data (40)'!$C$2:$L$249,6,1)</f>
        <v>1.4</v>
      </c>
      <c r="H13" s="3">
        <f>VLOOKUP($A13,'Summary Data (40)'!$C$2:$L$249,7,1)</f>
        <v>6.2734839999999998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11.666111578949518</v>
      </c>
      <c r="N13" s="3">
        <f t="shared" si="1"/>
        <v>14.361281402594269</v>
      </c>
      <c r="O13" s="3">
        <f t="shared" si="2"/>
        <v>4.3718971854333439</v>
      </c>
      <c r="P13" s="3">
        <f t="shared" si="3"/>
        <v>9.9893842171609251</v>
      </c>
      <c r="Q13" s="5">
        <f t="shared" si="4"/>
        <v>2.2849083117609439</v>
      </c>
      <c r="R13" s="3">
        <f t="shared" si="5"/>
        <v>177.02371934116897</v>
      </c>
      <c r="S13" s="3">
        <f t="shared" si="6"/>
        <v>132.32706182123025</v>
      </c>
      <c r="T13" s="3">
        <f t="shared" si="7"/>
        <v>44.696657519938725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6.5582589999999996</v>
      </c>
      <c r="G14" s="3">
        <f>VLOOKUP($A14,'Summary Data (40)'!$C$2:$L$249,6,1)</f>
        <v>1.4</v>
      </c>
      <c r="H14" s="3">
        <f>VLOOKUP($A14,'Summary Data (40)'!$C$2:$L$249,7,1)</f>
        <v>-2.1848269999999999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5.1147330560851358</v>
      </c>
      <c r="N14" s="3">
        <f t="shared" si="1"/>
        <v>10.567996582371229</v>
      </c>
      <c r="O14" s="3">
        <f t="shared" si="2"/>
        <v>8.0292617967033557</v>
      </c>
      <c r="P14" s="3">
        <f t="shared" si="3"/>
        <v>2.5387347856678737</v>
      </c>
      <c r="Q14" s="5">
        <f t="shared" si="4"/>
        <v>0.31618532935496313</v>
      </c>
      <c r="R14" s="3">
        <f t="shared" si="5"/>
        <v>23.666151625811782</v>
      </c>
      <c r="S14" s="3">
        <f t="shared" si="6"/>
        <v>-4.226344325490925</v>
      </c>
      <c r="T14" s="3">
        <f t="shared" si="7"/>
        <v>27.892495951302706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4.3622639999999997</v>
      </c>
      <c r="G15" s="3">
        <f>VLOOKUP($A15,'Summary Data (40)'!$C$2:$L$249,6,1)</f>
        <v>1.4</v>
      </c>
      <c r="H15" s="3">
        <f>VLOOKUP($A15,'Summary Data (40)'!$C$2:$L$249,7,1)</f>
        <v>3.0849259999999998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9.4751501577110648</v>
      </c>
      <c r="N15" s="3">
        <f t="shared" si="1"/>
        <v>8.9860357795399413</v>
      </c>
      <c r="O15" s="3">
        <f t="shared" si="2"/>
        <v>1.5015515309172709</v>
      </c>
      <c r="P15" s="3">
        <f t="shared" si="3"/>
        <v>7.4844842486226701</v>
      </c>
      <c r="Q15" s="5">
        <f t="shared" si="4"/>
        <v>4.984500428067582</v>
      </c>
      <c r="R15" s="3">
        <f t="shared" si="5"/>
        <v>-85.071579131103505</v>
      </c>
      <c r="S15" s="3">
        <f t="shared" si="6"/>
        <v>19.468385261341858</v>
      </c>
      <c r="T15" s="3">
        <f t="shared" si="7"/>
        <v>104.53996439244537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7.5691959999999998</v>
      </c>
      <c r="G16" s="3">
        <f>VLOOKUP($A16,'Summary Data (40)'!$C$2:$L$249,6,1)</f>
        <v>1.4</v>
      </c>
      <c r="H16" s="3">
        <f>VLOOKUP($A16,'Summary Data (40)'!$C$2:$L$249,7,1)</f>
        <v>-3.630986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9.8709987779662907</v>
      </c>
      <c r="N16" s="3">
        <f t="shared" si="1"/>
        <v>14.002453123171382</v>
      </c>
      <c r="O16" s="3">
        <f t="shared" si="2"/>
        <v>4.3329067610554466</v>
      </c>
      <c r="P16" s="3">
        <f t="shared" si="3"/>
        <v>9.6695463621159341</v>
      </c>
      <c r="Q16" s="5">
        <f t="shared" si="4"/>
        <v>2.231653459295889</v>
      </c>
      <c r="R16" s="3">
        <f t="shared" si="5"/>
        <v>-19.074748100261683</v>
      </c>
      <c r="S16" s="3">
        <f t="shared" si="6"/>
        <v>-33.70886781360781</v>
      </c>
      <c r="T16" s="3">
        <f t="shared" si="7"/>
        <v>14.634119713346127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-3.6226080000000001</v>
      </c>
      <c r="G17" s="3">
        <f>VLOOKUP($A17,'Summary Data (40)'!$C$2:$L$249,6,1)</f>
        <v>1.4</v>
      </c>
      <c r="H17" s="3">
        <f>VLOOKUP($A17,'Summary Data (40)'!$C$2:$L$249,7,1)</f>
        <v>-4.5202489999999997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4.6359407679202498</v>
      </c>
      <c r="N17" s="3">
        <f t="shared" si="1"/>
        <v>8.4653466484051911</v>
      </c>
      <c r="O17" s="3">
        <f t="shared" si="2"/>
        <v>8.0641771433916301</v>
      </c>
      <c r="P17" s="3">
        <f t="shared" si="3"/>
        <v>0.40116950501356108</v>
      </c>
      <c r="Q17" s="5">
        <f t="shared" si="4"/>
        <v>4.9747109702607213E-2</v>
      </c>
      <c r="R17" s="3">
        <f t="shared" si="5"/>
        <v>174.57078263739461</v>
      </c>
      <c r="S17" s="3">
        <f t="shared" si="6"/>
        <v>-152.96913961711786</v>
      </c>
      <c r="T17" s="3">
        <f t="shared" si="7"/>
        <v>32.460077745487524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-7.186528</v>
      </c>
      <c r="G18" s="3">
        <f>VLOOKUP($A18,'Summary Data (40)'!$C$2:$L$249,6,1)</f>
        <v>1.4</v>
      </c>
      <c r="H18" s="3">
        <f>VLOOKUP($A18,'Summary Data (40)'!$C$2:$L$249,7,1)</f>
        <v>-2.8021430000000001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11.306802908746265</v>
      </c>
      <c r="N18" s="3">
        <f t="shared" si="1"/>
        <v>11.52562855714312</v>
      </c>
      <c r="O18" s="3">
        <f t="shared" si="2"/>
        <v>2.5489458605470614</v>
      </c>
      <c r="P18" s="3">
        <f t="shared" si="3"/>
        <v>8.9766826965960593</v>
      </c>
      <c r="Q18" s="5">
        <f t="shared" si="4"/>
        <v>3.5217235624884791</v>
      </c>
      <c r="R18" s="3">
        <f t="shared" si="5"/>
        <v>-77.654050540796021</v>
      </c>
      <c r="S18" s="3">
        <f t="shared" si="6"/>
        <v>-156.37358488543384</v>
      </c>
      <c r="T18" s="3">
        <f t="shared" si="7"/>
        <v>78.719534344637822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8.1965470000000007</v>
      </c>
      <c r="G19" s="3">
        <f>VLOOKUP($A19,'Summary Data (40)'!$C$2:$L$249,6,1)</f>
        <v>1.4</v>
      </c>
      <c r="H19" s="3">
        <f>VLOOKUP($A19,'Summary Data (40)'!$C$2:$L$249,7,1)</f>
        <v>-2.0105819999999999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6.1576772916362712</v>
      </c>
      <c r="N19" s="3">
        <f t="shared" si="1"/>
        <v>12.192545687096398</v>
      </c>
      <c r="O19" s="3">
        <f t="shared" si="2"/>
        <v>8.0292617967033557</v>
      </c>
      <c r="P19" s="3">
        <f t="shared" si="3"/>
        <v>4.1632838903930427</v>
      </c>
      <c r="Q19" s="5">
        <f t="shared" si="4"/>
        <v>0.5185139052387604</v>
      </c>
      <c r="R19" s="3">
        <f t="shared" si="5"/>
        <v>23.666151625811782</v>
      </c>
      <c r="S19" s="3">
        <f t="shared" si="6"/>
        <v>-2.8422455005106619</v>
      </c>
      <c r="T19" s="3">
        <f t="shared" si="7"/>
        <v>26.508397126322443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-2.8043429999999998</v>
      </c>
      <c r="G20" s="3">
        <f>VLOOKUP($A20,'Summary Data (40)'!$C$2:$L$249,6,1)</f>
        <v>1.4</v>
      </c>
      <c r="H20" s="3">
        <f>VLOOKUP($A20,'Summary Data (40)'!$C$2:$L$249,7,1)</f>
        <v>-3.3331119999999999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6.4006741977851833</v>
      </c>
      <c r="N20" s="3">
        <f t="shared" si="1"/>
        <v>6.681537279563214</v>
      </c>
      <c r="O20" s="3">
        <f t="shared" si="2"/>
        <v>7.8871175977032326</v>
      </c>
      <c r="P20" s="3">
        <f t="shared" si="3"/>
        <v>-1.2055803181400186</v>
      </c>
      <c r="Q20" s="5">
        <f t="shared" si="4"/>
        <v>-0.15285436069713093</v>
      </c>
      <c r="R20" s="3">
        <f t="shared" si="5"/>
        <v>-63.65586590726528</v>
      </c>
      <c r="S20" s="3">
        <f t="shared" si="6"/>
        <v>-114.96786581977902</v>
      </c>
      <c r="T20" s="3">
        <f t="shared" si="7"/>
        <v>51.311999912513741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-6.2808869999999999</v>
      </c>
      <c r="G21" s="3">
        <f>VLOOKUP($A21,'Summary Data (40)'!$C$2:$L$249,6,1)</f>
        <v>1.4</v>
      </c>
      <c r="H21" s="3">
        <f>VLOOKUP($A21,'Summary Data (40)'!$C$2:$L$249,7,1)</f>
        <v>-0.2879256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10.206153944180166</v>
      </c>
      <c r="N21" s="3">
        <f t="shared" si="1"/>
        <v>9.8807006831653581</v>
      </c>
      <c r="O21" s="3">
        <f t="shared" si="2"/>
        <v>2.5489458605470614</v>
      </c>
      <c r="P21" s="3">
        <f t="shared" si="3"/>
        <v>7.3317548226182971</v>
      </c>
      <c r="Q21" s="5">
        <f t="shared" si="4"/>
        <v>2.8763870335969934</v>
      </c>
      <c r="R21" s="3">
        <f t="shared" si="5"/>
        <v>-77.654050540796021</v>
      </c>
      <c r="S21" s="3">
        <f t="shared" si="6"/>
        <v>-167.69978564704115</v>
      </c>
      <c r="T21" s="3">
        <f t="shared" si="7"/>
        <v>90.045735106245132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5.5517510000000003</v>
      </c>
      <c r="G22" s="3">
        <f>VLOOKUP($A22,'Summary Data (40)'!$C$2:$L$249,6,1)</f>
        <v>1.4</v>
      </c>
      <c r="H22" s="3">
        <f>VLOOKUP($A22,'Summary Data (40)'!$C$2:$L$249,7,1)</f>
        <v>2.8334890000000001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10.432957807310544</v>
      </c>
      <c r="N22" s="3">
        <f t="shared" si="1"/>
        <v>10.043712674062416</v>
      </c>
      <c r="O22" s="3">
        <f t="shared" si="2"/>
        <v>1.5015515309172709</v>
      </c>
      <c r="P22" s="3">
        <f t="shared" si="3"/>
        <v>8.5421611431451456</v>
      </c>
      <c r="Q22" s="5">
        <f t="shared" si="4"/>
        <v>5.6888897698548462</v>
      </c>
      <c r="R22" s="3">
        <f t="shared" si="5"/>
        <v>-85.071579131103505</v>
      </c>
      <c r="S22" s="3">
        <f t="shared" si="6"/>
        <v>15.852086416805664</v>
      </c>
      <c r="T22" s="3">
        <f t="shared" si="7"/>
        <v>100.92366554790917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-5.3459729999999999</v>
      </c>
      <c r="G23" s="3">
        <f>VLOOKUP($A23,'Summary Data (40)'!$C$2:$L$249,6,1)</f>
        <v>1.4</v>
      </c>
      <c r="H23" s="3">
        <f>VLOOKUP($A23,'Summary Data (40)'!$C$2:$L$249,7,1)</f>
        <v>4.6687380000000003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9.8692940690493671</v>
      </c>
      <c r="N23" s="3">
        <f t="shared" si="1"/>
        <v>12.63977894226687</v>
      </c>
      <c r="O23" s="3">
        <f t="shared" si="2"/>
        <v>4.3718971854333439</v>
      </c>
      <c r="P23" s="3">
        <f t="shared" si="3"/>
        <v>8.2678817568335266</v>
      </c>
      <c r="Q23" s="5">
        <f t="shared" si="4"/>
        <v>1.8911427707817907</v>
      </c>
      <c r="R23" s="3">
        <f t="shared" si="5"/>
        <v>177.02371934116897</v>
      </c>
      <c r="S23" s="3">
        <f t="shared" si="6"/>
        <v>134.5167478029577</v>
      </c>
      <c r="T23" s="3">
        <f t="shared" si="7"/>
        <v>42.506971538211275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4.7763239999999998</v>
      </c>
      <c r="G24" s="3">
        <f>VLOOKUP($A24,'Summary Data (40)'!$C$2:$L$249,6,1)</f>
        <v>1.4</v>
      </c>
      <c r="H24" s="3">
        <f>VLOOKUP($A24,'Summary Data (40)'!$C$2:$L$249,7,1)</f>
        <v>2.2842790000000002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9.0476772474937999</v>
      </c>
      <c r="N24" s="3">
        <f t="shared" si="1"/>
        <v>8.5224347805552032</v>
      </c>
      <c r="O24" s="3">
        <f t="shared" si="2"/>
        <v>8.8659173242253964</v>
      </c>
      <c r="P24" s="3">
        <f t="shared" si="3"/>
        <v>-0.34348254367019315</v>
      </c>
      <c r="Q24" s="5">
        <f t="shared" si="4"/>
        <v>-3.8741906912627654E-2</v>
      </c>
      <c r="R24" s="3">
        <f t="shared" si="5"/>
        <v>111.35858600069317</v>
      </c>
      <c r="S24" s="3">
        <f t="shared" si="6"/>
        <v>48.686550044067978</v>
      </c>
      <c r="T24" s="3">
        <f t="shared" si="7"/>
        <v>62.672035956625187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-7.4603400000000004</v>
      </c>
      <c r="G25" s="3">
        <f>VLOOKUP($A25,'Summary Data (40)'!$C$2:$L$249,6,1)</f>
        <v>1.4</v>
      </c>
      <c r="H25" s="3">
        <f>VLOOKUP($A25,'Summary Data (40)'!$C$2:$L$249,7,1)</f>
        <v>-4.900118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6.0104954678898146</v>
      </c>
      <c r="N25" s="3">
        <f t="shared" si="1"/>
        <v>12.138169044033125</v>
      </c>
      <c r="O25" s="3">
        <f t="shared" si="2"/>
        <v>8.0641771433916301</v>
      </c>
      <c r="P25" s="3">
        <f t="shared" si="3"/>
        <v>4.0739919006414951</v>
      </c>
      <c r="Q25" s="5">
        <f t="shared" si="4"/>
        <v>0.50519623120878721</v>
      </c>
      <c r="R25" s="3">
        <f t="shared" si="5"/>
        <v>174.57078263739461</v>
      </c>
      <c r="S25" s="3">
        <f t="shared" si="6"/>
        <v>-159.61968222880159</v>
      </c>
      <c r="T25" s="3">
        <f t="shared" si="7"/>
        <v>25.80953513380382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0.23986450000000001</v>
      </c>
      <c r="G26" s="3">
        <f>VLOOKUP($A26,'Summary Data (40)'!$C$2:$L$249,6,1)</f>
        <v>1.4</v>
      </c>
      <c r="H26" s="3">
        <f>VLOOKUP($A26,'Summary Data (40)'!$C$2:$L$249,7,1)</f>
        <v>-8.3795149999999996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11.10577150267307</v>
      </c>
      <c r="N26" s="3">
        <f t="shared" si="1"/>
        <v>13.243520921740759</v>
      </c>
      <c r="O26" s="3">
        <f t="shared" si="2"/>
        <v>4.3329067610554466</v>
      </c>
      <c r="P26" s="3">
        <f t="shared" si="3"/>
        <v>8.9106141606853129</v>
      </c>
      <c r="Q26" s="5">
        <f t="shared" si="4"/>
        <v>2.0564980167066391</v>
      </c>
      <c r="R26" s="3">
        <f t="shared" si="5"/>
        <v>-19.074748100261683</v>
      </c>
      <c r="S26" s="3">
        <f t="shared" si="6"/>
        <v>-70.967071397590303</v>
      </c>
      <c r="T26" s="3">
        <f t="shared" si="7"/>
        <v>51.892323297328616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5.5972549999999996</v>
      </c>
      <c r="G27" s="3">
        <f>VLOOKUP($A27,'Summary Data (40)'!$C$2:$L$249,6,1)</f>
        <v>1.4</v>
      </c>
      <c r="H27" s="3">
        <f>VLOOKUP($A27,'Summary Data (40)'!$C$2:$L$249,7,1)</f>
        <v>3.260761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9.7161191863905216</v>
      </c>
      <c r="N27" s="3">
        <f t="shared" si="1"/>
        <v>9.7978800976612277</v>
      </c>
      <c r="O27" s="3">
        <f t="shared" si="2"/>
        <v>8.8659173242253964</v>
      </c>
      <c r="P27" s="3">
        <f t="shared" si="3"/>
        <v>0.93196277343583134</v>
      </c>
      <c r="Q27" s="5">
        <f t="shared" si="4"/>
        <v>0.10511746718969722</v>
      </c>
      <c r="R27" s="3">
        <f t="shared" si="5"/>
        <v>111.35858600069317</v>
      </c>
      <c r="S27" s="3">
        <f t="shared" si="6"/>
        <v>48.85054012530339</v>
      </c>
      <c r="T27" s="3">
        <f t="shared" si="7"/>
        <v>62.508045875389776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-4.6943210000000004</v>
      </c>
      <c r="G28" s="3">
        <f>VLOOKUP($A28,'Summary Data (40)'!$C$2:$L$249,6,1)</f>
        <v>1.4</v>
      </c>
      <c r="H28" s="3">
        <f>VLOOKUP($A28,'Summary Data (40)'!$C$2:$L$249,7,1)</f>
        <v>-0.35681370000000001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8.618123158980076</v>
      </c>
      <c r="N28" s="3">
        <f t="shared" si="1"/>
        <v>8.3550663743233482</v>
      </c>
      <c r="O28" s="3">
        <f t="shared" si="2"/>
        <v>2.5489458605470614</v>
      </c>
      <c r="P28" s="3">
        <f t="shared" si="3"/>
        <v>5.8061205137762872</v>
      </c>
      <c r="Q28" s="5">
        <f t="shared" si="4"/>
        <v>2.2778516419843311</v>
      </c>
      <c r="R28" s="3">
        <f t="shared" si="5"/>
        <v>-77.654050540796021</v>
      </c>
      <c r="S28" s="3">
        <f t="shared" si="6"/>
        <v>-164.91931007577296</v>
      </c>
      <c r="T28" s="3">
        <f t="shared" si="7"/>
        <v>87.265259534976934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2.9887779999999999</v>
      </c>
      <c r="G29" s="3">
        <f>VLOOKUP($A29,'Summary Data (40)'!$C$2:$L$249,6,1)</f>
        <v>1.4</v>
      </c>
      <c r="H29" s="3">
        <f>VLOOKUP($A29,'Summary Data (40)'!$C$2:$L$249,7,1)</f>
        <v>-4.9346550000000002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8.2153761597573247</v>
      </c>
      <c r="N29" s="3">
        <f t="shared" si="1"/>
        <v>11.502297562935372</v>
      </c>
      <c r="O29" s="3">
        <f t="shared" si="2"/>
        <v>4.3329067610554466</v>
      </c>
      <c r="P29" s="3">
        <f t="shared" si="3"/>
        <v>7.1693908018799251</v>
      </c>
      <c r="Q29" s="5">
        <f t="shared" si="4"/>
        <v>1.6546376825642892</v>
      </c>
      <c r="R29" s="3">
        <f t="shared" si="5"/>
        <v>-19.074748100261683</v>
      </c>
      <c r="S29" s="3">
        <f t="shared" si="6"/>
        <v>-52.086825238286586</v>
      </c>
      <c r="T29" s="3">
        <f t="shared" si="7"/>
        <v>33.012077138024907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-5.472048</v>
      </c>
      <c r="G30" s="3">
        <f>VLOOKUP($A30,'Summary Data (40)'!$C$2:$L$249,6,1)</f>
        <v>1.4</v>
      </c>
      <c r="H30" s="3">
        <f>VLOOKUP($A30,'Summary Data (40)'!$C$2:$L$249,7,1)</f>
        <v>6.5025849999999998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11.58183548866625</v>
      </c>
      <c r="N30" s="3">
        <f t="shared" si="1"/>
        <v>14.086639521636414</v>
      </c>
      <c r="O30" s="3">
        <f t="shared" si="2"/>
        <v>4.3718971854333439</v>
      </c>
      <c r="P30" s="3">
        <f t="shared" si="3"/>
        <v>9.71474233620307</v>
      </c>
      <c r="Q30" s="5">
        <f t="shared" si="4"/>
        <v>2.2220884719273521</v>
      </c>
      <c r="R30" s="3">
        <f t="shared" si="5"/>
        <v>177.02371934116897</v>
      </c>
      <c r="S30" s="3">
        <f t="shared" si="6"/>
        <v>129.64692348784672</v>
      </c>
      <c r="T30" s="3">
        <f t="shared" si="7"/>
        <v>47.37679585332225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5.9526430000000001</v>
      </c>
      <c r="G31" s="3">
        <f>VLOOKUP($A31,'Summary Data (40)'!$C$2:$L$249,6,1)</f>
        <v>1.4</v>
      </c>
      <c r="H31" s="3">
        <f>VLOOKUP($A31,'Summary Data (40)'!$C$2:$L$249,7,1)</f>
        <v>4.2913309999999996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11.451499629961571</v>
      </c>
      <c r="N31" s="3">
        <f t="shared" si="1"/>
        <v>10.904492941765335</v>
      </c>
      <c r="O31" s="3">
        <f t="shared" si="2"/>
        <v>1.5015515309172709</v>
      </c>
      <c r="P31" s="3">
        <f t="shared" si="3"/>
        <v>9.4029414108480651</v>
      </c>
      <c r="Q31" s="5">
        <f t="shared" si="4"/>
        <v>6.2621503273377348</v>
      </c>
      <c r="R31" s="3">
        <f t="shared" si="5"/>
        <v>-85.071579131103505</v>
      </c>
      <c r="S31" s="3">
        <f t="shared" si="6"/>
        <v>22.661397178854767</v>
      </c>
      <c r="T31" s="3">
        <f t="shared" si="7"/>
        <v>107.73297630995827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-7.8893380000000004</v>
      </c>
      <c r="G32" s="3">
        <f>VLOOKUP($A32,'Summary Data (40)'!$C$2:$L$249,6,1)</f>
        <v>1.4</v>
      </c>
      <c r="H32" s="3">
        <f>VLOOKUP($A32,'Summary Data (40)'!$C$2:$L$249,7,1)</f>
        <v>-6.2062730000000004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7.3434630392460614</v>
      </c>
      <c r="N32" s="3">
        <f t="shared" si="1"/>
        <v>13.039568272714133</v>
      </c>
      <c r="O32" s="3">
        <f t="shared" si="2"/>
        <v>8.0641771433916301</v>
      </c>
      <c r="P32" s="3">
        <f t="shared" si="3"/>
        <v>4.975391129322503</v>
      </c>
      <c r="Q32" s="5">
        <f t="shared" si="4"/>
        <v>0.61697443407473984</v>
      </c>
      <c r="R32" s="3">
        <f t="shared" si="5"/>
        <v>174.57078263739461</v>
      </c>
      <c r="S32" s="3">
        <f t="shared" si="6"/>
        <v>-154.89080151950631</v>
      </c>
      <c r="T32" s="3">
        <f t="shared" si="7"/>
        <v>30.538415843099074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-6.9472829999999997</v>
      </c>
      <c r="G33" s="3">
        <f>VLOOKUP($A33,'Summary Data (40)'!$C$2:$L$249,6,1)</f>
        <v>1.4</v>
      </c>
      <c r="H33" s="3">
        <f>VLOOKUP($A33,'Summary Data (40)'!$C$2:$L$249,7,1)</f>
        <v>-2.428893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10.637101388984595</v>
      </c>
      <c r="N33" s="3">
        <f t="shared" si="1"/>
        <v>8.6625409902371029</v>
      </c>
      <c r="O33" s="3">
        <f t="shared" si="2"/>
        <v>7.8871175977032326</v>
      </c>
      <c r="P33" s="3">
        <f t="shared" si="3"/>
        <v>0.77542339253387027</v>
      </c>
      <c r="Q33" s="5">
        <f t="shared" si="4"/>
        <v>9.8315180790467402E-2</v>
      </c>
      <c r="R33" s="3">
        <f t="shared" si="5"/>
        <v>-63.65586590726528</v>
      </c>
      <c r="S33" s="3">
        <f t="shared" si="6"/>
        <v>-143.49822083918249</v>
      </c>
      <c r="T33" s="3">
        <f t="shared" si="7"/>
        <v>79.842354931917214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7.7942070000000001</v>
      </c>
      <c r="G34" s="3">
        <f>VLOOKUP($A34,'Summary Data (40)'!$C$2:$L$249,6,1)</f>
        <v>1.4</v>
      </c>
      <c r="H34" s="3">
        <f>VLOOKUP($A34,'Summary Data (40)'!$C$2:$L$249,7,1)</f>
        <v>-2.2569810000000001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6.0120206690604441</v>
      </c>
      <c r="N34" s="3">
        <f t="shared" si="1"/>
        <v>11.805916675769399</v>
      </c>
      <c r="O34" s="3">
        <f t="shared" si="2"/>
        <v>8.0292617967033557</v>
      </c>
      <c r="P34" s="3">
        <f t="shared" si="3"/>
        <v>3.7766548790660437</v>
      </c>
      <c r="Q34" s="5">
        <f t="shared" si="4"/>
        <v>0.47036140739820664</v>
      </c>
      <c r="R34" s="3">
        <f t="shared" si="5"/>
        <v>23.666151625811782</v>
      </c>
      <c r="S34" s="3">
        <f t="shared" si="6"/>
        <v>-4.133515541594087</v>
      </c>
      <c r="T34" s="3">
        <f t="shared" si="7"/>
        <v>27.799667167405868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-7.3118800000000004</v>
      </c>
      <c r="G35" s="3">
        <f>VLOOKUP($A35,'Summary Data (40)'!$C$2:$L$249,6,1)</f>
        <v>1.4</v>
      </c>
      <c r="H35" s="3">
        <f>VLOOKUP($A35,'Summary Data (40)'!$C$2:$L$249,7,1)</f>
        <v>-5.9566109999999997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6.8420421015747186</v>
      </c>
      <c r="N35" s="3">
        <f t="shared" si="1"/>
        <v>12.41075138795879</v>
      </c>
      <c r="O35" s="3">
        <f t="shared" si="2"/>
        <v>8.0641771433916301</v>
      </c>
      <c r="P35" s="3">
        <f t="shared" si="3"/>
        <v>4.3465742445671598</v>
      </c>
      <c r="Q35" s="5">
        <f t="shared" si="4"/>
        <v>0.53899786268076433</v>
      </c>
      <c r="R35" s="3">
        <f t="shared" si="5"/>
        <v>174.57078263739461</v>
      </c>
      <c r="S35" s="3">
        <f t="shared" si="6"/>
        <v>-154.80321401670059</v>
      </c>
      <c r="T35" s="3">
        <f t="shared" si="7"/>
        <v>30.626003345904792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-7.560238</v>
      </c>
      <c r="G36" s="3">
        <f>VLOOKUP($A36,'Summary Data (40)'!$C$2:$L$249,6,1)</f>
        <v>1.4</v>
      </c>
      <c r="H36" s="3">
        <f>VLOOKUP($A36,'Summary Data (40)'!$C$2:$L$249,7,1)</f>
        <v>-1.423797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11.502766785423976</v>
      </c>
      <c r="N36" s="3">
        <f t="shared" si="1"/>
        <v>11.403440636924147</v>
      </c>
      <c r="O36" s="3">
        <f t="shared" si="2"/>
        <v>2.5489458605470614</v>
      </c>
      <c r="P36" s="3">
        <f t="shared" si="3"/>
        <v>8.854494776377086</v>
      </c>
      <c r="Q36" s="5">
        <f t="shared" si="4"/>
        <v>3.4737869145940632</v>
      </c>
      <c r="R36" s="3">
        <f t="shared" si="5"/>
        <v>-77.654050540796021</v>
      </c>
      <c r="S36" s="3">
        <f t="shared" si="6"/>
        <v>-163.48928409339729</v>
      </c>
      <c r="T36" s="3">
        <f t="shared" si="7"/>
        <v>85.835233552601267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7.2155880000000003</v>
      </c>
      <c r="G37" s="3">
        <f>VLOOKUP($A37,'Summary Data (40)'!$C$2:$L$249,6,1)</f>
        <v>1.4</v>
      </c>
      <c r="H37" s="3">
        <f>VLOOKUP($A37,'Summary Data (40)'!$C$2:$L$249,7,1)</f>
        <v>-6.240602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11.497745708970433</v>
      </c>
      <c r="N37" s="3">
        <f t="shared" si="1"/>
        <v>15.340293868506823</v>
      </c>
      <c r="O37" s="3">
        <f t="shared" si="2"/>
        <v>4.3329067610554466</v>
      </c>
      <c r="P37" s="3">
        <f t="shared" si="3"/>
        <v>11.007387107451375</v>
      </c>
      <c r="Q37" s="5">
        <f t="shared" si="4"/>
        <v>2.5404163335308194</v>
      </c>
      <c r="R37" s="3">
        <f t="shared" si="5"/>
        <v>-19.074748100261683</v>
      </c>
      <c r="S37" s="3">
        <f t="shared" si="6"/>
        <v>-42.585417457808859</v>
      </c>
      <c r="T37" s="3">
        <f t="shared" si="7"/>
        <v>23.510669357547176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8.7385350000000006</v>
      </c>
      <c r="G38" s="3">
        <f>VLOOKUP($A38,'Summary Data (40)'!$C$2:$L$249,6,1)</f>
        <v>1.4</v>
      </c>
      <c r="H38" s="3">
        <f>VLOOKUP($A38,'Summary Data (40)'!$C$2:$L$249,7,1)</f>
        <v>-3.2061869999999999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7.3499233651238844</v>
      </c>
      <c r="N38" s="3">
        <f t="shared" si="1"/>
        <v>12.846293000363724</v>
      </c>
      <c r="O38" s="3">
        <f t="shared" si="2"/>
        <v>8.0292617967033557</v>
      </c>
      <c r="P38" s="3">
        <f t="shared" si="3"/>
        <v>4.8170312036603686</v>
      </c>
      <c r="Q38" s="5">
        <f t="shared" si="4"/>
        <v>0.5999345052664915</v>
      </c>
      <c r="R38" s="3">
        <f t="shared" si="5"/>
        <v>23.666151625811782</v>
      </c>
      <c r="S38" s="3">
        <f t="shared" si="6"/>
        <v>-8.0555308461281818</v>
      </c>
      <c r="T38" s="3">
        <f t="shared" si="7"/>
        <v>31.721682471939964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-9.5743600000000004</v>
      </c>
      <c r="G39" s="3">
        <f>VLOOKUP($A39,'Summary Data (40)'!$C$2:$L$249,6,1)</f>
        <v>1.4</v>
      </c>
      <c r="H39" s="3">
        <f>VLOOKUP($A39,'Summary Data (40)'!$C$2:$L$249,7,1)</f>
        <v>-6.2558769999999999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8.3743289348298831</v>
      </c>
      <c r="N39" s="3">
        <f t="shared" si="1"/>
        <v>14.601790779446507</v>
      </c>
      <c r="O39" s="3">
        <f t="shared" si="2"/>
        <v>8.0641771433916301</v>
      </c>
      <c r="P39" s="3">
        <f t="shared" si="3"/>
        <v>6.5376136360548767</v>
      </c>
      <c r="Q39" s="5">
        <f t="shared" si="4"/>
        <v>0.81069816793549354</v>
      </c>
      <c r="R39" s="3">
        <f t="shared" si="5"/>
        <v>174.57078263739461</v>
      </c>
      <c r="S39" s="3">
        <f t="shared" si="6"/>
        <v>-157.521176602228</v>
      </c>
      <c r="T39" s="3">
        <f t="shared" si="7"/>
        <v>27.908040760377389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-3.9017780000000002</v>
      </c>
      <c r="G40" s="3">
        <f>VLOOKUP($A40,'Summary Data (40)'!$C$2:$L$249,6,1)</f>
        <v>1.4</v>
      </c>
      <c r="H40" s="3">
        <f>VLOOKUP($A40,'Summary Data (40)'!$C$2:$L$249,7,1)</f>
        <v>-7.7270479999999999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8.1528181770224695</v>
      </c>
      <c r="N40" s="3">
        <f t="shared" si="1"/>
        <v>11.161244946491767</v>
      </c>
      <c r="O40" s="3">
        <f t="shared" si="2"/>
        <v>7.8871175977032326</v>
      </c>
      <c r="P40" s="3">
        <f t="shared" si="3"/>
        <v>3.2741273487885341</v>
      </c>
      <c r="Q40" s="5">
        <f t="shared" si="4"/>
        <v>0.41512343492152015</v>
      </c>
      <c r="R40" s="3">
        <f t="shared" si="5"/>
        <v>-63.65586590726528</v>
      </c>
      <c r="S40" s="3">
        <f t="shared" si="6"/>
        <v>-110.54948420198993</v>
      </c>
      <c r="T40" s="3">
        <f t="shared" si="7"/>
        <v>46.893618294724646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5.4465170000000001</v>
      </c>
      <c r="G41" s="3">
        <f>VLOOKUP($A41,'Summary Data (40)'!$C$2:$L$249,6,1)</f>
        <v>1.4</v>
      </c>
      <c r="H41" s="3">
        <f>VLOOKUP($A41,'Summary Data (40)'!$C$2:$L$249,7,1)</f>
        <v>0.14116500000000001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10.330835177976368</v>
      </c>
      <c r="N41" s="3">
        <f t="shared" si="1"/>
        <v>7.6011904000961579</v>
      </c>
      <c r="O41" s="3">
        <f t="shared" si="2"/>
        <v>8.8659173242253964</v>
      </c>
      <c r="P41" s="3">
        <f t="shared" si="3"/>
        <v>-1.2647269241292385</v>
      </c>
      <c r="Q41" s="5">
        <f t="shared" si="4"/>
        <v>-0.14265043061855262</v>
      </c>
      <c r="R41" s="3">
        <f t="shared" si="5"/>
        <v>111.35858600069317</v>
      </c>
      <c r="S41" s="3">
        <f t="shared" si="6"/>
        <v>34.06943126594318</v>
      </c>
      <c r="T41" s="3">
        <f t="shared" si="7"/>
        <v>77.289154734749985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1.7448622299617214</v>
      </c>
      <c r="T42" s="3">
        <f>AVERAGE(T2:T41)</f>
        <v>55.982230445764493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17" sqref="B17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2017-09-13T11:30:18Z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