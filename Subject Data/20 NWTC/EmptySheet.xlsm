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20 NWTC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E39" i="3"/>
  <c r="C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D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C4" i="3" l="1"/>
  <c r="C13" i="3"/>
  <c r="J18" i="3"/>
  <c r="C12" i="3"/>
  <c r="S12" i="3" s="1"/>
  <c r="D13" i="3"/>
  <c r="D36" i="3"/>
  <c r="L40" i="3"/>
  <c r="D3" i="3"/>
  <c r="L7" i="3"/>
  <c r="L9" i="3"/>
  <c r="E12" i="3"/>
  <c r="C22" i="3"/>
  <c r="C28" i="3"/>
  <c r="J29" i="3"/>
  <c r="J5" i="3"/>
  <c r="E22" i="3"/>
  <c r="L25" i="3"/>
  <c r="E28" i="3"/>
  <c r="K29" i="3"/>
  <c r="D35" i="3"/>
  <c r="C36" i="3"/>
  <c r="S36" i="3" s="1"/>
  <c r="L3" i="3"/>
  <c r="K17" i="3"/>
  <c r="C40" i="3"/>
  <c r="N40" i="3" s="1"/>
  <c r="J4" i="3"/>
  <c r="R4" i="3" s="1"/>
  <c r="C9" i="3"/>
  <c r="N9" i="3" s="1"/>
  <c r="L4" i="3"/>
  <c r="D8" i="3"/>
  <c r="D9" i="3"/>
  <c r="S13" i="3"/>
  <c r="J13" i="3"/>
  <c r="J14" i="3"/>
  <c r="M14" i="3" s="1"/>
  <c r="E15" i="3"/>
  <c r="L16" i="3"/>
  <c r="L20" i="3"/>
  <c r="J25" i="3"/>
  <c r="C32" i="3"/>
  <c r="E33" i="3"/>
  <c r="J36" i="3"/>
  <c r="J40" i="3"/>
  <c r="M40" i="3" s="1"/>
  <c r="D16" i="3"/>
  <c r="K21" i="3"/>
  <c r="J27" i="3"/>
  <c r="J7" i="3"/>
  <c r="J9" i="3"/>
  <c r="O9" i="3" s="1"/>
  <c r="K10" i="3"/>
  <c r="L13" i="3"/>
  <c r="K14" i="3"/>
  <c r="E19" i="3"/>
  <c r="K24" i="3"/>
  <c r="J31" i="3"/>
  <c r="E32" i="3"/>
  <c r="S32" i="3" s="1"/>
  <c r="L36" i="3"/>
  <c r="K37" i="3"/>
  <c r="E2" i="3"/>
  <c r="E3" i="3"/>
  <c r="S3" i="3" s="1"/>
  <c r="J6" i="3"/>
  <c r="E8" i="3"/>
  <c r="S8" i="3" s="1"/>
  <c r="L12" i="3"/>
  <c r="E16" i="3"/>
  <c r="S16" i="3" s="1"/>
  <c r="C17" i="3"/>
  <c r="O17" i="3" s="1"/>
  <c r="L17" i="3"/>
  <c r="M17" i="3" s="1"/>
  <c r="C20" i="3"/>
  <c r="L21" i="3"/>
  <c r="M21" i="3" s="1"/>
  <c r="J23" i="3"/>
  <c r="C24" i="3"/>
  <c r="S24" i="3" s="1"/>
  <c r="C26" i="3"/>
  <c r="D27" i="3"/>
  <c r="N28" i="3"/>
  <c r="K28" i="3"/>
  <c r="C30" i="3"/>
  <c r="D31" i="3"/>
  <c r="K32" i="3"/>
  <c r="J33" i="3"/>
  <c r="D40" i="3"/>
  <c r="J41" i="3"/>
  <c r="M41" i="3" s="1"/>
  <c r="S4" i="3"/>
  <c r="S9" i="3"/>
  <c r="K6" i="3"/>
  <c r="N13" i="3"/>
  <c r="D17" i="3"/>
  <c r="D20" i="3"/>
  <c r="L23" i="3"/>
  <c r="D24" i="3"/>
  <c r="E26" i="3"/>
  <c r="E30" i="3"/>
  <c r="N30" i="3" s="1"/>
  <c r="K33" i="3"/>
  <c r="K41" i="3"/>
  <c r="K5" i="3"/>
  <c r="J10" i="3"/>
  <c r="M10" i="3" s="1"/>
  <c r="E11" i="3"/>
  <c r="O13" i="3"/>
  <c r="K18" i="3"/>
  <c r="L27" i="3"/>
  <c r="L31" i="3"/>
  <c r="J37" i="3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M4" i="3"/>
  <c r="D5" i="3"/>
  <c r="C6" i="3"/>
  <c r="M6" i="3"/>
  <c r="D7" i="3"/>
  <c r="C10" i="3"/>
  <c r="E10" i="3"/>
  <c r="D10" i="3"/>
  <c r="W13" i="3"/>
  <c r="V18" i="3"/>
  <c r="Y18" i="3" s="1"/>
  <c r="N20" i="3"/>
  <c r="S22" i="3"/>
  <c r="L2" i="3"/>
  <c r="M2" i="3" s="1"/>
  <c r="E5" i="3"/>
  <c r="O5" i="3" s="1"/>
  <c r="M5" i="3"/>
  <c r="E6" i="3"/>
  <c r="E7" i="3"/>
  <c r="N7" i="3" s="1"/>
  <c r="J11" i="3"/>
  <c r="L11" i="3"/>
  <c r="K11" i="3"/>
  <c r="C14" i="3"/>
  <c r="E14" i="3"/>
  <c r="D14" i="3"/>
  <c r="W17" i="3"/>
  <c r="S20" i="3"/>
  <c r="N5" i="3"/>
  <c r="U7" i="3"/>
  <c r="K8" i="3"/>
  <c r="J8" i="3"/>
  <c r="V10" i="3"/>
  <c r="Y10" i="3" s="1"/>
  <c r="J15" i="3"/>
  <c r="L15" i="3"/>
  <c r="K15" i="3"/>
  <c r="C18" i="3"/>
  <c r="E18" i="3"/>
  <c r="D18" i="3"/>
  <c r="W22" i="3"/>
  <c r="V7" i="3"/>
  <c r="L8" i="3"/>
  <c r="W9" i="3"/>
  <c r="V14" i="3"/>
  <c r="Y14" i="3" s="1"/>
  <c r="M18" i="3"/>
  <c r="J19" i="3"/>
  <c r="L19" i="3"/>
  <c r="K19" i="3"/>
  <c r="L22" i="3"/>
  <c r="J22" i="3"/>
  <c r="K22" i="3"/>
  <c r="M9" i="3"/>
  <c r="C11" i="3"/>
  <c r="J12" i="3"/>
  <c r="M13" i="3"/>
  <c r="C15" i="3"/>
  <c r="J16" i="3"/>
  <c r="C19" i="3"/>
  <c r="J20" i="3"/>
  <c r="C21" i="3"/>
  <c r="S21" i="3" s="1"/>
  <c r="E23" i="3"/>
  <c r="C23" i="3"/>
  <c r="J26" i="3"/>
  <c r="L26" i="3"/>
  <c r="K26" i="3"/>
  <c r="D21" i="3"/>
  <c r="C25" i="3"/>
  <c r="E25" i="3"/>
  <c r="D25" i="3"/>
  <c r="D29" i="3"/>
  <c r="K30" i="3"/>
  <c r="N35" i="3"/>
  <c r="N39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O33" i="3" s="1"/>
  <c r="D34" i="3"/>
  <c r="C34" i="3"/>
  <c r="N34" i="3" s="1"/>
  <c r="S35" i="3"/>
  <c r="E37" i="3"/>
  <c r="O37" i="3" s="1"/>
  <c r="D37" i="3"/>
  <c r="D38" i="3"/>
  <c r="C38" i="3"/>
  <c r="N38" i="3" s="1"/>
  <c r="S39" i="3"/>
  <c r="E41" i="3"/>
  <c r="D41" i="3"/>
  <c r="L34" i="3"/>
  <c r="K34" i="3"/>
  <c r="L38" i="3"/>
  <c r="K38" i="3"/>
  <c r="M33" i="3"/>
  <c r="J34" i="3"/>
  <c r="K35" i="3"/>
  <c r="J35" i="3"/>
  <c r="R36" i="3"/>
  <c r="M37" i="3"/>
  <c r="J38" i="3"/>
  <c r="K39" i="3"/>
  <c r="J39" i="3"/>
  <c r="M36" i="3"/>
  <c r="N22" i="3" l="1"/>
  <c r="S18" i="3"/>
  <c r="N3" i="3"/>
  <c r="P13" i="3"/>
  <c r="Q13" i="3" s="1"/>
  <c r="N16" i="3"/>
  <c r="N12" i="3"/>
  <c r="S40" i="3"/>
  <c r="M23" i="3"/>
  <c r="N32" i="3"/>
  <c r="P32" i="3" s="1"/>
  <c r="Q32" i="3" s="1"/>
  <c r="T4" i="3"/>
  <c r="M25" i="3"/>
  <c r="S28" i="3"/>
  <c r="N36" i="3"/>
  <c r="S34" i="3"/>
  <c r="S25" i="3"/>
  <c r="O10" i="3"/>
  <c r="M27" i="3"/>
  <c r="M7" i="3"/>
  <c r="T36" i="3"/>
  <c r="N19" i="3"/>
  <c r="R40" i="3"/>
  <c r="T40" i="3" s="1"/>
  <c r="O40" i="3"/>
  <c r="P40" i="3" s="1"/>
  <c r="Q40" i="3" s="1"/>
  <c r="O27" i="3"/>
  <c r="N11" i="3"/>
  <c r="N17" i="3"/>
  <c r="P17" i="3" s="1"/>
  <c r="Q17" i="3" s="1"/>
  <c r="O36" i="3"/>
  <c r="R13" i="3"/>
  <c r="T13" i="3" s="1"/>
  <c r="O4" i="3"/>
  <c r="P4" i="3" s="1"/>
  <c r="Q4" i="3" s="1"/>
  <c r="N15" i="3"/>
  <c r="N8" i="3"/>
  <c r="P9" i="3"/>
  <c r="Q9" i="3" s="1"/>
  <c r="O7" i="3"/>
  <c r="P7" i="3" s="1"/>
  <c r="Q7" i="3" s="1"/>
  <c r="N14" i="3"/>
  <c r="S38" i="3"/>
  <c r="O18" i="3"/>
  <c r="R9" i="3"/>
  <c r="T9" i="3" s="1"/>
  <c r="S6" i="3"/>
  <c r="T6" i="3" s="1"/>
  <c r="O41" i="3"/>
  <c r="S31" i="3"/>
  <c r="S10" i="3"/>
  <c r="M31" i="3"/>
  <c r="S17" i="3"/>
  <c r="S30" i="3"/>
  <c r="S26" i="3"/>
  <c r="R17" i="3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O39" i="3"/>
  <c r="P39" i="3" s="1"/>
  <c r="Q39" i="3" s="1"/>
  <c r="R39" i="3"/>
  <c r="T39" i="3" s="1"/>
  <c r="M39" i="3"/>
  <c r="O32" i="3"/>
  <c r="R32" i="3"/>
  <c r="T32" i="3" s="1"/>
  <c r="M32" i="3"/>
  <c r="R30" i="3"/>
  <c r="N33" i="3"/>
  <c r="P33" i="3" s="1"/>
  <c r="Q33" i="3" s="1"/>
  <c r="R22" i="3"/>
  <c r="T22" i="3" s="1"/>
  <c r="M22" i="3"/>
  <c r="O22" i="3"/>
  <c r="R19" i="3"/>
  <c r="O19" i="3"/>
  <c r="M19" i="3"/>
  <c r="O25" i="3"/>
  <c r="Z22" i="3"/>
  <c r="X22" i="3"/>
  <c r="R11" i="3"/>
  <c r="O11" i="3"/>
  <c r="M11" i="3"/>
  <c r="N10" i="3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N2" i="3"/>
  <c r="O2" i="3"/>
  <c r="R7" i="3"/>
  <c r="O34" i="3"/>
  <c r="P34" i="3" s="1"/>
  <c r="Q34" i="3" s="1"/>
  <c r="R34" i="3"/>
  <c r="T34" i="3" s="1"/>
  <c r="M34" i="3"/>
  <c r="R24" i="3"/>
  <c r="T24" i="3" s="1"/>
  <c r="M24" i="3"/>
  <c r="O24" i="3"/>
  <c r="S41" i="3"/>
  <c r="R41" i="3"/>
  <c r="O29" i="3"/>
  <c r="R26" i="3"/>
  <c r="O26" i="3"/>
  <c r="M26" i="3"/>
  <c r="N25" i="3"/>
  <c r="R21" i="3"/>
  <c r="T21" i="3" s="1"/>
  <c r="O8" i="3"/>
  <c r="P8" i="3" s="1"/>
  <c r="Q8" i="3" s="1"/>
  <c r="R8" i="3"/>
  <c r="T8" i="3" s="1"/>
  <c r="M8" i="3"/>
  <c r="X13" i="3"/>
  <c r="Z13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N18" i="3"/>
  <c r="P18" i="3" s="1"/>
  <c r="Q18" i="3" s="1"/>
  <c r="R25" i="3"/>
  <c r="O38" i="3"/>
  <c r="P38" i="3" s="1"/>
  <c r="Q38" i="3" s="1"/>
  <c r="R38" i="3"/>
  <c r="T38" i="3" s="1"/>
  <c r="M38" i="3"/>
  <c r="N29" i="3"/>
  <c r="O28" i="3"/>
  <c r="P28" i="3" s="1"/>
  <c r="Q28" i="3" s="1"/>
  <c r="R28" i="3"/>
  <c r="M28" i="3"/>
  <c r="R31" i="3"/>
  <c r="R27" i="3"/>
  <c r="R37" i="3"/>
  <c r="O30" i="3"/>
  <c r="P30" i="3" s="1"/>
  <c r="Q30" i="3" s="1"/>
  <c r="N41" i="3"/>
  <c r="M20" i="3"/>
  <c r="O20" i="3"/>
  <c r="P20" i="3" s="1"/>
  <c r="Q20" i="3" s="1"/>
  <c r="R20" i="3"/>
  <c r="T20" i="3" s="1"/>
  <c r="M16" i="3"/>
  <c r="O16" i="3"/>
  <c r="R16" i="3"/>
  <c r="T16" i="3" s="1"/>
  <c r="M12" i="3"/>
  <c r="O12" i="3"/>
  <c r="P12" i="3" s="1"/>
  <c r="Q12" i="3" s="1"/>
  <c r="R12" i="3"/>
  <c r="T12" i="3" s="1"/>
  <c r="R23" i="3"/>
  <c r="T23" i="3" s="1"/>
  <c r="Y7" i="3"/>
  <c r="N21" i="3"/>
  <c r="R15" i="3"/>
  <c r="O15" i="3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O6" i="3"/>
  <c r="R2" i="3"/>
  <c r="R14" i="3"/>
  <c r="O35" i="3"/>
  <c r="P35" i="3" s="1"/>
  <c r="Q35" i="3" s="1"/>
  <c r="R35" i="3"/>
  <c r="T35" i="3" s="1"/>
  <c r="M35" i="3"/>
  <c r="S37" i="3"/>
  <c r="N27" i="3"/>
  <c r="N37" i="3"/>
  <c r="P37" i="3" s="1"/>
  <c r="Q37" i="3" s="1"/>
  <c r="R33" i="3"/>
  <c r="X9" i="3"/>
  <c r="Z9" i="3"/>
  <c r="O14" i="3"/>
  <c r="P5" i="3"/>
  <c r="Q5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T28" i="3" l="1"/>
  <c r="T10" i="3"/>
  <c r="P15" i="3"/>
  <c r="Q15" i="3" s="1"/>
  <c r="P16" i="3"/>
  <c r="Q16" i="3" s="1"/>
  <c r="P22" i="3"/>
  <c r="Q22" i="3" s="1"/>
  <c r="T30" i="3"/>
  <c r="P14" i="3"/>
  <c r="Q14" i="3" s="1"/>
  <c r="T26" i="3"/>
  <c r="P36" i="3"/>
  <c r="Q36" i="3" s="1"/>
  <c r="T33" i="3"/>
  <c r="T27" i="3"/>
  <c r="P25" i="3"/>
  <c r="Q25" i="3" s="1"/>
  <c r="T5" i="3"/>
  <c r="P10" i="3"/>
  <c r="Q10" i="3" s="1"/>
  <c r="P19" i="3"/>
  <c r="Q19" i="3" s="1"/>
  <c r="T11" i="3"/>
  <c r="T31" i="3"/>
  <c r="P27" i="3"/>
  <c r="Q27" i="3" s="1"/>
  <c r="P6" i="3"/>
  <c r="Q6" i="3" s="1"/>
  <c r="T25" i="3"/>
  <c r="T7" i="3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Q42" i="3" l="1"/>
  <c r="T42" i="3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<sst xmlns="http://schemas.openxmlformats.org/spreadsheetml/2006/main" count="394" uniqueCount="37">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</sst>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abSelected="1" topLeftCell="A73" zoomScaleNormal="100" workbookViewId="0">
      <selection activeCell="A83" sqref="A80:XFD83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42972.448518518519</v>
      </c>
      <c r="B2">
        <v>1246.8630000000001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1.6</v>
      </c>
      <c r="I2">
        <v>-4.117</v>
      </c>
      <c r="J2">
        <v>357.56970000000001</v>
      </c>
      <c r="K2">
        <v>359.87860000000001</v>
      </c>
      <c r="L2">
        <v>352.60309999999998</v>
      </c>
    </row>
    <row r="3" spans="1:12" x14ac:dyDescent="0.2">
      <c r="A3" s="1">
        <v>42972.448530092595</v>
      </c>
      <c r="B3">
        <v>1247.884</v>
      </c>
      <c r="C3">
        <v>0</v>
      </c>
      <c r="D3" t="s">
        <v>35</v>
      </c>
      <c r="E3" t="s">
        <v>0</v>
      </c>
      <c r="F3" t="s">
        <v>1</v>
      </c>
      <c r="G3">
        <v>-0.82719109999999996</v>
      </c>
      <c r="H3">
        <v>1.6</v>
      </c>
      <c r="I3">
        <v>-4.1163949999999998</v>
      </c>
      <c r="J3">
        <v>4.5827</v>
      </c>
      <c r="K3">
        <v>357.9239</v>
      </c>
      <c r="L3">
        <v>358.03879999999998</v>
      </c>
    </row>
    <row r="4" spans="1:12" x14ac:dyDescent="0.2">
      <c r="A4" s="1">
        <v>42972.449976851851</v>
      </c>
      <c r="B4">
        <v>1372.9369999999999</v>
      </c>
      <c r="C4">
        <v>0</v>
      </c>
      <c r="D4" t="s">
        <v>36</v>
      </c>
      <c r="E4" t="s">
        <v>0</v>
      </c>
      <c r="F4" t="s">
        <v>1</v>
      </c>
      <c r="G4">
        <v>-0.76550980000000002</v>
      </c>
      <c r="H4">
        <v>1.6</v>
      </c>
      <c r="I4">
        <v>1.5863119999999999</v>
      </c>
      <c r="J4">
        <v>359.90820000000002</v>
      </c>
      <c r="K4">
        <v>274.56040000000002</v>
      </c>
      <c r="L4">
        <v>0.24039170000000001</v>
      </c>
    </row>
    <row r="5" spans="1:12" x14ac:dyDescent="0.2">
      <c r="A5" s="1">
        <v>42972.450046296297</v>
      </c>
      <c r="B5">
        <v>1378.6780000000001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1.6</v>
      </c>
      <c r="I5">
        <v>-4.3440000000000003</v>
      </c>
      <c r="J5">
        <v>359.91739999999999</v>
      </c>
      <c r="K5">
        <v>273.33600000000001</v>
      </c>
      <c r="L5">
        <v>0.65036280000000002</v>
      </c>
    </row>
    <row r="6" spans="1:12" x14ac:dyDescent="0.2">
      <c r="A6" s="1">
        <v>42972.450185185182</v>
      </c>
      <c r="B6">
        <v>1390.73</v>
      </c>
      <c r="C6">
        <v>1</v>
      </c>
      <c r="D6" t="s">
        <v>35</v>
      </c>
      <c r="E6" t="s">
        <v>2</v>
      </c>
      <c r="F6" t="s">
        <v>0</v>
      </c>
      <c r="G6">
        <v>3.5347840000000001</v>
      </c>
      <c r="H6">
        <v>1.6</v>
      </c>
      <c r="I6">
        <v>-4.303096</v>
      </c>
      <c r="J6">
        <v>8.4505300000000005</v>
      </c>
      <c r="K6">
        <v>303.67349999999999</v>
      </c>
      <c r="L6">
        <v>0.1500495</v>
      </c>
    </row>
    <row r="7" spans="1:12" x14ac:dyDescent="0.2">
      <c r="A7" s="1">
        <v>42972.450358796297</v>
      </c>
      <c r="B7">
        <v>1405.8610000000001</v>
      </c>
      <c r="C7">
        <v>1</v>
      </c>
      <c r="D7" t="s">
        <v>36</v>
      </c>
      <c r="E7" t="s">
        <v>2</v>
      </c>
      <c r="F7" t="s">
        <v>0</v>
      </c>
      <c r="G7">
        <v>6.0582760000000002</v>
      </c>
      <c r="H7">
        <v>1.6</v>
      </c>
      <c r="I7">
        <v>-9.2322120000000005</v>
      </c>
      <c r="J7">
        <v>358.99189999999999</v>
      </c>
      <c r="K7">
        <v>353.30669999999998</v>
      </c>
      <c r="L7">
        <v>357.63839999999999</v>
      </c>
    </row>
    <row r="8" spans="1:12" x14ac:dyDescent="0.2">
      <c r="A8" s="1">
        <v>42972.450462962966</v>
      </c>
      <c r="B8">
        <v>1415.4179999999999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1.6</v>
      </c>
      <c r="I8">
        <v>1.8169999999999999</v>
      </c>
      <c r="J8">
        <v>358.54059999999998</v>
      </c>
      <c r="K8">
        <v>12.42403</v>
      </c>
      <c r="L8">
        <v>5.933372E-2</v>
      </c>
    </row>
    <row r="9" spans="1:12" x14ac:dyDescent="0.2">
      <c r="A9" s="1">
        <v>42972.450543981482</v>
      </c>
      <c r="B9">
        <v>1422.03</v>
      </c>
      <c r="C9">
        <v>2</v>
      </c>
      <c r="D9" t="s">
        <v>35</v>
      </c>
      <c r="E9" t="s">
        <v>3</v>
      </c>
      <c r="F9" t="s">
        <v>4</v>
      </c>
      <c r="G9">
        <v>3.371553</v>
      </c>
      <c r="H9">
        <v>1.6</v>
      </c>
      <c r="I9">
        <v>1.932409</v>
      </c>
      <c r="J9">
        <v>4.4329349999999996</v>
      </c>
      <c r="K9">
        <v>275.75150000000002</v>
      </c>
      <c r="L9">
        <v>2.4320379999999999</v>
      </c>
    </row>
    <row r="10" spans="1:12" x14ac:dyDescent="0.2">
      <c r="A10" s="1">
        <v>42972.450636574074</v>
      </c>
      <c r="B10">
        <v>1430.03</v>
      </c>
      <c r="C10">
        <v>2</v>
      </c>
      <c r="D10" t="s">
        <v>36</v>
      </c>
      <c r="E10" t="s">
        <v>3</v>
      </c>
      <c r="F10" t="s">
        <v>4</v>
      </c>
      <c r="G10">
        <v>0.96212410000000004</v>
      </c>
      <c r="H10">
        <v>1.6</v>
      </c>
      <c r="I10">
        <v>2.7434660000000002</v>
      </c>
      <c r="J10">
        <v>4.0458420000000004</v>
      </c>
      <c r="K10">
        <v>199.09299999999999</v>
      </c>
      <c r="L10">
        <v>359.54390000000001</v>
      </c>
    </row>
    <row r="11" spans="1:12" x14ac:dyDescent="0.2">
      <c r="A11" s="1">
        <v>42972.450648148151</v>
      </c>
      <c r="B11">
        <v>1431.3530000000001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1.6</v>
      </c>
      <c r="I11">
        <v>4.1399999999999997</v>
      </c>
      <c r="J11">
        <v>2.8075459999999999</v>
      </c>
      <c r="K11">
        <v>199.21850000000001</v>
      </c>
      <c r="L11">
        <v>358.99669999999998</v>
      </c>
    </row>
    <row r="12" spans="1:12" x14ac:dyDescent="0.2">
      <c r="A12" s="1">
        <v>42972.450694444444</v>
      </c>
      <c r="B12">
        <v>1435.5039999999999</v>
      </c>
      <c r="C12">
        <v>3</v>
      </c>
      <c r="D12" t="s">
        <v>35</v>
      </c>
      <c r="E12" t="s">
        <v>1</v>
      </c>
      <c r="F12" t="s">
        <v>5</v>
      </c>
      <c r="G12">
        <v>-4.015968</v>
      </c>
      <c r="H12">
        <v>1.6</v>
      </c>
      <c r="I12">
        <v>4.1231949999999999</v>
      </c>
      <c r="J12">
        <v>6.5003609999999998</v>
      </c>
      <c r="K12">
        <v>5.8824459999999998</v>
      </c>
      <c r="L12">
        <v>0.14069809999999999</v>
      </c>
    </row>
    <row r="13" spans="1:12" x14ac:dyDescent="0.2">
      <c r="A13" s="1">
        <v>42972.450879629629</v>
      </c>
      <c r="B13">
        <v>1450.9359999999999</v>
      </c>
      <c r="C13">
        <v>3</v>
      </c>
      <c r="D13" t="s">
        <v>36</v>
      </c>
      <c r="E13" t="s">
        <v>1</v>
      </c>
      <c r="F13" t="s">
        <v>5</v>
      </c>
      <c r="G13">
        <v>-6.8900230000000002</v>
      </c>
      <c r="H13">
        <v>1.6</v>
      </c>
      <c r="I13">
        <v>-0.73718600000000001</v>
      </c>
      <c r="J13">
        <v>9.4068799999999992</v>
      </c>
      <c r="K13">
        <v>173.9127</v>
      </c>
      <c r="L13">
        <v>1.8492710000000001</v>
      </c>
    </row>
    <row r="14" spans="1:12" x14ac:dyDescent="0.2">
      <c r="A14" s="1">
        <v>42972.450925925928</v>
      </c>
      <c r="B14">
        <v>1455.0029999999999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1.6</v>
      </c>
      <c r="I14">
        <v>-0.67300000000000004</v>
      </c>
      <c r="J14">
        <v>7.6470760000000002</v>
      </c>
      <c r="K14">
        <v>139.8193</v>
      </c>
      <c r="L14">
        <v>358.2328</v>
      </c>
    </row>
    <row r="15" spans="1:12" x14ac:dyDescent="0.2">
      <c r="A15" s="1">
        <v>42972.450983796298</v>
      </c>
      <c r="B15">
        <v>1460.3679999999999</v>
      </c>
      <c r="C15">
        <v>4</v>
      </c>
      <c r="D15" t="s">
        <v>35</v>
      </c>
      <c r="E15" t="s">
        <v>4</v>
      </c>
      <c r="F15" t="s">
        <v>6</v>
      </c>
      <c r="G15">
        <v>3.7127880000000002</v>
      </c>
      <c r="H15">
        <v>1.6</v>
      </c>
      <c r="I15">
        <v>-0.63891240000000005</v>
      </c>
      <c r="J15">
        <v>35.320990000000002</v>
      </c>
      <c r="K15">
        <v>200.5812</v>
      </c>
      <c r="L15">
        <v>1.751376</v>
      </c>
    </row>
    <row r="16" spans="1:12" x14ac:dyDescent="0.2">
      <c r="A16" s="1">
        <v>42972.451111111113</v>
      </c>
      <c r="B16">
        <v>1471.114</v>
      </c>
      <c r="C16">
        <v>4</v>
      </c>
      <c r="D16" t="s">
        <v>36</v>
      </c>
      <c r="E16" t="s">
        <v>4</v>
      </c>
      <c r="F16" t="s">
        <v>6</v>
      </c>
      <c r="G16">
        <v>7.1439599999999999</v>
      </c>
      <c r="H16">
        <v>1.6</v>
      </c>
      <c r="I16">
        <v>-3.0421499999999999</v>
      </c>
      <c r="J16">
        <v>8.3070450000000005</v>
      </c>
      <c r="K16">
        <v>35.56964</v>
      </c>
      <c r="L16">
        <v>359.16090000000003</v>
      </c>
    </row>
    <row r="17" spans="1:12" x14ac:dyDescent="0.2">
      <c r="A17" s="1">
        <v>42972.45113425926</v>
      </c>
      <c r="B17">
        <v>1473.0889999999999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1.6</v>
      </c>
      <c r="I17">
        <v>-4.117</v>
      </c>
      <c r="J17">
        <v>6.6290829999999996</v>
      </c>
      <c r="K17">
        <v>37.433399999999999</v>
      </c>
      <c r="L17">
        <v>358.80700000000002</v>
      </c>
    </row>
    <row r="18" spans="1:12" x14ac:dyDescent="0.2">
      <c r="A18" s="1">
        <v>42972.451203703706</v>
      </c>
      <c r="B18">
        <v>1478.6120000000001</v>
      </c>
      <c r="C18">
        <v>5</v>
      </c>
      <c r="D18" t="s">
        <v>35</v>
      </c>
      <c r="E18" t="s">
        <v>0</v>
      </c>
      <c r="F18" t="s">
        <v>1</v>
      </c>
      <c r="G18">
        <v>-0.91727329999999996</v>
      </c>
      <c r="H18">
        <v>1.6</v>
      </c>
      <c r="I18">
        <v>-4.1560379999999997</v>
      </c>
      <c r="J18">
        <v>10.28106</v>
      </c>
      <c r="K18">
        <v>191.00739999999999</v>
      </c>
      <c r="L18">
        <v>6.0631360000000002E-2</v>
      </c>
    </row>
    <row r="19" spans="1:12" x14ac:dyDescent="0.2">
      <c r="A19" s="1">
        <v>42972.451388888891</v>
      </c>
      <c r="B19">
        <v>1495.115</v>
      </c>
      <c r="C19">
        <v>5</v>
      </c>
      <c r="D19" t="s">
        <v>36</v>
      </c>
      <c r="E19" t="s">
        <v>0</v>
      </c>
      <c r="F19" t="s">
        <v>1</v>
      </c>
      <c r="G19">
        <v>-0.79333209999999998</v>
      </c>
      <c r="H19">
        <v>1.6</v>
      </c>
      <c r="I19">
        <v>3.3931360000000002</v>
      </c>
      <c r="J19">
        <v>3.6699660000000001</v>
      </c>
      <c r="K19">
        <v>262.69630000000001</v>
      </c>
      <c r="L19">
        <v>0.54622380000000004</v>
      </c>
    </row>
    <row r="20" spans="1:12" x14ac:dyDescent="0.2">
      <c r="A20" s="1">
        <v>42972.451469907406</v>
      </c>
      <c r="B20">
        <v>1501.559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1.6</v>
      </c>
      <c r="I20">
        <v>-1.4059999999999999</v>
      </c>
      <c r="J20">
        <v>8.1352080000000004</v>
      </c>
      <c r="K20">
        <v>253.96780000000001</v>
      </c>
      <c r="L20">
        <v>357.30509999999998</v>
      </c>
    </row>
    <row r="21" spans="1:12" x14ac:dyDescent="0.2">
      <c r="A21" s="1">
        <v>42972.451585648145</v>
      </c>
      <c r="B21">
        <v>1511.9459999999999</v>
      </c>
      <c r="C21">
        <v>6</v>
      </c>
      <c r="D21" t="s">
        <v>35</v>
      </c>
      <c r="E21" t="s">
        <v>33</v>
      </c>
      <c r="F21" t="s">
        <v>3</v>
      </c>
      <c r="G21">
        <v>-3.8952520000000002</v>
      </c>
      <c r="H21">
        <v>1.6</v>
      </c>
      <c r="I21">
        <v>-1.3390919999999999</v>
      </c>
      <c r="J21">
        <v>22.284009999999999</v>
      </c>
      <c r="K21">
        <v>283.96609999999998</v>
      </c>
      <c r="L21">
        <v>347.9606</v>
      </c>
    </row>
    <row r="22" spans="1:12" x14ac:dyDescent="0.2">
      <c r="A22" s="1">
        <v>42972.451736111114</v>
      </c>
      <c r="B22">
        <v>1525.3520000000001</v>
      </c>
      <c r="C22">
        <v>6</v>
      </c>
      <c r="D22" t="s">
        <v>36</v>
      </c>
      <c r="E22" t="s">
        <v>33</v>
      </c>
      <c r="F22" t="s">
        <v>3</v>
      </c>
      <c r="G22">
        <v>-0.12765499999999999</v>
      </c>
      <c r="H22">
        <v>1.6</v>
      </c>
      <c r="I22">
        <v>-7.1810850000000004</v>
      </c>
      <c r="J22">
        <v>10.13904</v>
      </c>
      <c r="K22">
        <v>53.012090000000001</v>
      </c>
      <c r="L22">
        <v>359.27569999999997</v>
      </c>
    </row>
    <row r="23" spans="1:12" x14ac:dyDescent="0.2">
      <c r="A23" s="1">
        <v>42972.451782407406</v>
      </c>
      <c r="B23">
        <v>1529.42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1.6</v>
      </c>
      <c r="I23">
        <v>4.1399999999999997</v>
      </c>
      <c r="J23">
        <v>6.8205730000000004</v>
      </c>
      <c r="K23">
        <v>53.591450000000002</v>
      </c>
      <c r="L23">
        <v>359.16609999999997</v>
      </c>
    </row>
    <row r="24" spans="1:12" x14ac:dyDescent="0.2">
      <c r="A24" s="1">
        <v>42972.451898148145</v>
      </c>
      <c r="B24">
        <v>1539.01</v>
      </c>
      <c r="C24">
        <v>7</v>
      </c>
      <c r="D24" t="s">
        <v>35</v>
      </c>
      <c r="E24" t="s">
        <v>1</v>
      </c>
      <c r="F24" t="s">
        <v>5</v>
      </c>
      <c r="G24">
        <v>-3.8197670000000001</v>
      </c>
      <c r="H24">
        <v>1.6</v>
      </c>
      <c r="I24">
        <v>4.0638379999999996</v>
      </c>
      <c r="J24">
        <v>5.2710530000000002</v>
      </c>
      <c r="K24">
        <v>114.3728</v>
      </c>
      <c r="L24">
        <v>0.84211619999999998</v>
      </c>
    </row>
    <row r="25" spans="1:12" x14ac:dyDescent="0.2">
      <c r="A25" s="1">
        <v>42972.452037037037</v>
      </c>
      <c r="B25">
        <v>1550.492</v>
      </c>
      <c r="C25">
        <v>7</v>
      </c>
      <c r="D25" t="s">
        <v>36</v>
      </c>
      <c r="E25" t="s">
        <v>1</v>
      </c>
      <c r="F25" t="s">
        <v>5</v>
      </c>
      <c r="G25">
        <v>-6.4389779999999996</v>
      </c>
      <c r="H25">
        <v>1.6</v>
      </c>
      <c r="I25">
        <v>1.24847</v>
      </c>
      <c r="J25">
        <v>10.26723</v>
      </c>
      <c r="K25">
        <v>144.80269999999999</v>
      </c>
      <c r="L25">
        <v>356.66309999999999</v>
      </c>
    </row>
    <row r="26" spans="1:12" x14ac:dyDescent="0.2">
      <c r="A26" s="1">
        <v>42972.452152777776</v>
      </c>
      <c r="B26">
        <v>1560.7950000000001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1.6</v>
      </c>
      <c r="I26">
        <v>-4.3440000000000003</v>
      </c>
      <c r="J26">
        <v>10.263120000000001</v>
      </c>
      <c r="K26">
        <v>161.5592</v>
      </c>
      <c r="L26">
        <v>355.7817</v>
      </c>
    </row>
    <row r="27" spans="1:12" x14ac:dyDescent="0.2">
      <c r="A27" s="1">
        <v>42972.452303240738</v>
      </c>
      <c r="B27">
        <v>1574.2860000000001</v>
      </c>
      <c r="C27">
        <v>8</v>
      </c>
      <c r="D27" t="s">
        <v>35</v>
      </c>
      <c r="E27" t="s">
        <v>2</v>
      </c>
      <c r="F27" t="s">
        <v>0</v>
      </c>
      <c r="G27">
        <v>3.7285509999999999</v>
      </c>
      <c r="H27">
        <v>1.6</v>
      </c>
      <c r="I27">
        <v>-4.2639630000000004</v>
      </c>
      <c r="J27">
        <v>15.394119999999999</v>
      </c>
      <c r="K27">
        <v>330.35149999999999</v>
      </c>
      <c r="L27">
        <v>358.64789999999999</v>
      </c>
    </row>
    <row r="28" spans="1:12" x14ac:dyDescent="0.2">
      <c r="A28" s="1">
        <v>42972.452465277776</v>
      </c>
      <c r="B28">
        <v>1587.492</v>
      </c>
      <c r="C28">
        <v>8</v>
      </c>
      <c r="D28" t="s">
        <v>36</v>
      </c>
      <c r="E28" t="s">
        <v>2</v>
      </c>
      <c r="F28" t="s">
        <v>0</v>
      </c>
      <c r="G28">
        <v>9.2448440000000005</v>
      </c>
      <c r="H28">
        <v>1.6</v>
      </c>
      <c r="I28">
        <v>-6.1708420000000004</v>
      </c>
      <c r="J28">
        <v>12.24456</v>
      </c>
      <c r="K28">
        <v>18.870349999999998</v>
      </c>
      <c r="L28">
        <v>358.71269999999998</v>
      </c>
    </row>
    <row r="29" spans="1:12" x14ac:dyDescent="0.2">
      <c r="A29" s="1">
        <v>42972.452534722222</v>
      </c>
      <c r="B29">
        <v>1593.6679999999999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1.6</v>
      </c>
      <c r="I29">
        <v>-1.4059999999999999</v>
      </c>
      <c r="J29">
        <v>10.39819</v>
      </c>
      <c r="K29">
        <v>19.041609999999999</v>
      </c>
      <c r="L29">
        <v>357.17809999999997</v>
      </c>
    </row>
    <row r="30" spans="1:12" x14ac:dyDescent="0.2">
      <c r="A30" s="1">
        <v>42972.452766203707</v>
      </c>
      <c r="B30">
        <v>1613.9870000000001</v>
      </c>
      <c r="C30">
        <v>9</v>
      </c>
      <c r="D30" t="s">
        <v>35</v>
      </c>
      <c r="E30" t="s">
        <v>33</v>
      </c>
      <c r="F30" t="s">
        <v>3</v>
      </c>
      <c r="G30">
        <v>-3.825774</v>
      </c>
      <c r="H30">
        <v>1.6</v>
      </c>
      <c r="I30">
        <v>-1.466019</v>
      </c>
      <c r="J30">
        <v>21.241350000000001</v>
      </c>
      <c r="K30">
        <v>34.483879999999999</v>
      </c>
      <c r="L30">
        <v>350.73079999999999</v>
      </c>
    </row>
    <row r="31" spans="1:12" x14ac:dyDescent="0.2">
      <c r="A31" s="1">
        <v>42972.452893518515</v>
      </c>
      <c r="B31">
        <v>1624.816</v>
      </c>
      <c r="C31">
        <v>9</v>
      </c>
      <c r="D31" t="s">
        <v>36</v>
      </c>
      <c r="E31" t="s">
        <v>33</v>
      </c>
      <c r="F31" t="s">
        <v>3</v>
      </c>
      <c r="G31">
        <v>0.53914830000000002</v>
      </c>
      <c r="H31">
        <v>1.6</v>
      </c>
      <c r="I31">
        <v>-3.4944199999999999</v>
      </c>
      <c r="J31">
        <v>13.72241</v>
      </c>
      <c r="K31">
        <v>15.26618</v>
      </c>
      <c r="L31">
        <v>357.57670000000002</v>
      </c>
    </row>
    <row r="32" spans="1:12" x14ac:dyDescent="0.2">
      <c r="A32" s="1">
        <v>42972.453009259261</v>
      </c>
      <c r="B32">
        <v>1635.1769999999999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1.6</v>
      </c>
      <c r="I32">
        <v>2.7240000000000002</v>
      </c>
      <c r="J32">
        <v>6.1611289999999999</v>
      </c>
      <c r="K32">
        <v>18.372499999999999</v>
      </c>
      <c r="L32">
        <v>357.00299999999999</v>
      </c>
    </row>
    <row r="33" spans="1:12" x14ac:dyDescent="0.2">
      <c r="A33" s="1">
        <v>42972.453101851854</v>
      </c>
      <c r="B33">
        <v>1643.171</v>
      </c>
      <c r="C33">
        <v>10</v>
      </c>
      <c r="D33" t="s">
        <v>35</v>
      </c>
      <c r="E33" t="s">
        <v>5</v>
      </c>
      <c r="F33" t="s">
        <v>2</v>
      </c>
      <c r="G33">
        <v>0.20018069999999999</v>
      </c>
      <c r="H33">
        <v>1.6</v>
      </c>
      <c r="I33">
        <v>2.689676</v>
      </c>
      <c r="J33">
        <v>18.446459999999998</v>
      </c>
      <c r="K33">
        <v>6.1628990000000003</v>
      </c>
      <c r="L33">
        <v>354.38799999999998</v>
      </c>
    </row>
    <row r="34" spans="1:12" x14ac:dyDescent="0.2">
      <c r="A34" s="1">
        <v>42972.4531712963</v>
      </c>
      <c r="B34">
        <v>1648.828</v>
      </c>
      <c r="C34">
        <v>10</v>
      </c>
      <c r="D34" t="s">
        <v>36</v>
      </c>
      <c r="E34" t="s">
        <v>5</v>
      </c>
      <c r="F34" t="s">
        <v>2</v>
      </c>
      <c r="G34">
        <v>2.4879090000000001</v>
      </c>
      <c r="H34">
        <v>1.6</v>
      </c>
      <c r="I34">
        <v>2.2302879999999998</v>
      </c>
      <c r="J34">
        <v>15.720319999999999</v>
      </c>
      <c r="K34">
        <v>12.913209999999999</v>
      </c>
      <c r="L34">
        <v>355.60640000000001</v>
      </c>
    </row>
    <row r="35" spans="1:12" x14ac:dyDescent="0.2">
      <c r="A35" s="1">
        <v>42972.453240740739</v>
      </c>
      <c r="B35">
        <v>1654.9870000000001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1.6</v>
      </c>
      <c r="I35">
        <v>-4.117</v>
      </c>
      <c r="J35">
        <v>13.14945</v>
      </c>
      <c r="K35">
        <v>20.300360000000001</v>
      </c>
      <c r="L35">
        <v>355.58769999999998</v>
      </c>
    </row>
    <row r="36" spans="1:12" x14ac:dyDescent="0.2">
      <c r="A36" s="1">
        <v>42972.453333333331</v>
      </c>
      <c r="B36">
        <v>1662.6859999999999</v>
      </c>
      <c r="C36">
        <v>11</v>
      </c>
      <c r="D36" t="s">
        <v>35</v>
      </c>
      <c r="E36" t="s">
        <v>0</v>
      </c>
      <c r="F36" t="s">
        <v>1</v>
      </c>
      <c r="G36">
        <v>-0.7933325</v>
      </c>
      <c r="H36">
        <v>1.6</v>
      </c>
      <c r="I36">
        <v>-4.1640090000000001</v>
      </c>
      <c r="J36">
        <v>21.116119999999999</v>
      </c>
      <c r="K36">
        <v>201.44970000000001</v>
      </c>
      <c r="L36">
        <v>342.21820000000002</v>
      </c>
    </row>
    <row r="37" spans="1:12" x14ac:dyDescent="0.2">
      <c r="A37" s="1">
        <v>42972.45349537037</v>
      </c>
      <c r="B37">
        <v>1677.23</v>
      </c>
      <c r="C37">
        <v>11</v>
      </c>
      <c r="D37" t="s">
        <v>36</v>
      </c>
      <c r="E37" t="s">
        <v>0</v>
      </c>
      <c r="F37" t="s">
        <v>1</v>
      </c>
      <c r="G37">
        <v>-6.4806540000000004</v>
      </c>
      <c r="H37">
        <v>1.6</v>
      </c>
      <c r="I37">
        <v>1.287161</v>
      </c>
      <c r="J37">
        <v>16.698090000000001</v>
      </c>
      <c r="K37">
        <v>233.17769999999999</v>
      </c>
      <c r="L37">
        <v>355.96609999999998</v>
      </c>
    </row>
    <row r="38" spans="1:12" x14ac:dyDescent="0.2">
      <c r="A38" s="1">
        <v>42972.453518518516</v>
      </c>
      <c r="B38">
        <v>1679.2719999999999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1.6</v>
      </c>
      <c r="I38">
        <v>1.8169999999999999</v>
      </c>
      <c r="J38">
        <v>14.89392</v>
      </c>
      <c r="K38">
        <v>237.2664</v>
      </c>
      <c r="L38">
        <v>354.41759999999999</v>
      </c>
    </row>
    <row r="39" spans="1:12" x14ac:dyDescent="0.2">
      <c r="A39" s="1">
        <v>42972.453553240739</v>
      </c>
      <c r="B39">
        <v>1681.9169999999999</v>
      </c>
      <c r="C39">
        <v>12</v>
      </c>
      <c r="D39" t="s">
        <v>35</v>
      </c>
      <c r="E39" t="s">
        <v>3</v>
      </c>
      <c r="F39" t="s">
        <v>4</v>
      </c>
      <c r="G39">
        <v>3.3730000000000002</v>
      </c>
      <c r="H39">
        <v>1.6</v>
      </c>
      <c r="I39">
        <v>1.8169999999999999</v>
      </c>
      <c r="J39">
        <v>5.9049440000000004</v>
      </c>
      <c r="K39">
        <v>267.98070000000001</v>
      </c>
      <c r="L39">
        <v>357.52550000000002</v>
      </c>
    </row>
    <row r="40" spans="1:12" x14ac:dyDescent="0.2">
      <c r="A40" s="1">
        <v>42972.453692129631</v>
      </c>
      <c r="B40">
        <v>1693.665</v>
      </c>
      <c r="C40">
        <v>12</v>
      </c>
      <c r="D40" t="s">
        <v>36</v>
      </c>
      <c r="E40" t="s">
        <v>3</v>
      </c>
      <c r="F40" t="s">
        <v>4</v>
      </c>
      <c r="G40">
        <v>-1.9107559999999999</v>
      </c>
      <c r="H40">
        <v>1.6</v>
      </c>
      <c r="I40">
        <v>6.7355159999999996</v>
      </c>
      <c r="J40">
        <v>15.04984</v>
      </c>
      <c r="K40">
        <v>221.29169999999999</v>
      </c>
      <c r="L40">
        <v>358.56270000000001</v>
      </c>
    </row>
    <row r="41" spans="1:12" x14ac:dyDescent="0.2">
      <c r="A41" s="1">
        <v>42972.453750000001</v>
      </c>
      <c r="B41">
        <v>1698.82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1.6</v>
      </c>
      <c r="I41">
        <v>-1.4059999999999999</v>
      </c>
      <c r="J41">
        <v>5.440137</v>
      </c>
      <c r="K41">
        <v>233.93989999999999</v>
      </c>
      <c r="L41">
        <v>346.20979999999997</v>
      </c>
    </row>
    <row r="42" spans="1:12" x14ac:dyDescent="0.2">
      <c r="A42" s="1">
        <v>42972.453865740739</v>
      </c>
      <c r="B42">
        <v>1708.7449999999999</v>
      </c>
      <c r="C42">
        <v>13</v>
      </c>
      <c r="D42" t="s">
        <v>35</v>
      </c>
      <c r="E42" t="s">
        <v>33</v>
      </c>
      <c r="F42" t="s">
        <v>3</v>
      </c>
      <c r="G42">
        <v>-4.0603670000000003</v>
      </c>
      <c r="H42">
        <v>1.6</v>
      </c>
      <c r="I42">
        <v>-1.4557640000000001</v>
      </c>
      <c r="J42">
        <v>20.15241</v>
      </c>
      <c r="K42">
        <v>81.255319999999998</v>
      </c>
      <c r="L42">
        <v>352.41410000000002</v>
      </c>
    </row>
    <row r="43" spans="1:12" x14ac:dyDescent="0.2">
      <c r="A43" s="1">
        <v>42972.453993055555</v>
      </c>
      <c r="B43">
        <v>1720.395</v>
      </c>
      <c r="C43">
        <v>13</v>
      </c>
      <c r="D43" t="s">
        <v>36</v>
      </c>
      <c r="E43" t="s">
        <v>33</v>
      </c>
      <c r="F43" t="s">
        <v>3</v>
      </c>
      <c r="G43">
        <v>-12.1311</v>
      </c>
      <c r="H43">
        <v>1.6</v>
      </c>
      <c r="I43">
        <v>-6.4050859999999998</v>
      </c>
      <c r="J43">
        <v>14.38645</v>
      </c>
      <c r="K43">
        <v>157.5658</v>
      </c>
      <c r="L43">
        <v>356.08569999999997</v>
      </c>
    </row>
    <row r="44" spans="1:12" x14ac:dyDescent="0.2">
      <c r="A44" s="1">
        <v>42972.454050925924</v>
      </c>
      <c r="B44">
        <v>1725.45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1.6</v>
      </c>
      <c r="I44">
        <v>2.7240000000000002</v>
      </c>
      <c r="J44">
        <v>8.8236150000000002</v>
      </c>
      <c r="K44">
        <v>163.86580000000001</v>
      </c>
      <c r="L44">
        <v>355.09379999999999</v>
      </c>
    </row>
    <row r="45" spans="1:12" x14ac:dyDescent="0.2">
      <c r="A45" s="1">
        <v>42972.454155092593</v>
      </c>
      <c r="B45">
        <v>1734.162</v>
      </c>
      <c r="C45">
        <v>14</v>
      </c>
      <c r="D45" t="s">
        <v>35</v>
      </c>
      <c r="E45" t="s">
        <v>5</v>
      </c>
      <c r="F45" t="s">
        <v>2</v>
      </c>
      <c r="G45">
        <v>0.1111805</v>
      </c>
      <c r="H45">
        <v>1.6</v>
      </c>
      <c r="I45">
        <v>2.5323090000000001</v>
      </c>
      <c r="J45">
        <v>15.947419999999999</v>
      </c>
      <c r="K45">
        <v>43.546999999999997</v>
      </c>
      <c r="L45">
        <v>354.92669999999998</v>
      </c>
    </row>
    <row r="46" spans="1:12" x14ac:dyDescent="0.2">
      <c r="A46" s="1">
        <v>42972.454351851855</v>
      </c>
      <c r="B46">
        <v>1750.596</v>
      </c>
      <c r="C46">
        <v>14</v>
      </c>
      <c r="D46" t="s">
        <v>36</v>
      </c>
      <c r="E46" t="s">
        <v>5</v>
      </c>
      <c r="F46" t="s">
        <v>2</v>
      </c>
      <c r="G46">
        <v>-1.0141180000000001</v>
      </c>
      <c r="H46">
        <v>1.6</v>
      </c>
      <c r="I46">
        <v>-3.0229650000000001</v>
      </c>
      <c r="J46">
        <v>21.90925</v>
      </c>
      <c r="K46">
        <v>113.63290000000001</v>
      </c>
      <c r="L46">
        <v>357.83330000000001</v>
      </c>
    </row>
    <row r="47" spans="1:12" x14ac:dyDescent="0.2">
      <c r="A47" s="1">
        <v>42972.454398148147</v>
      </c>
      <c r="B47">
        <v>1755.3989999999999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1.6</v>
      </c>
      <c r="I47">
        <v>0.09</v>
      </c>
      <c r="J47">
        <v>22.315850000000001</v>
      </c>
      <c r="K47">
        <v>118.2205</v>
      </c>
      <c r="L47">
        <v>356.69450000000001</v>
      </c>
    </row>
    <row r="48" spans="1:12" x14ac:dyDescent="0.2">
      <c r="A48" s="1">
        <v>42972.454479166663</v>
      </c>
      <c r="B48">
        <v>1761.759</v>
      </c>
      <c r="C48">
        <v>15</v>
      </c>
      <c r="D48" t="s">
        <v>35</v>
      </c>
      <c r="E48" t="s">
        <v>6</v>
      </c>
      <c r="F48" t="s">
        <v>33</v>
      </c>
      <c r="G48">
        <v>-4.0832350000000002</v>
      </c>
      <c r="H48">
        <v>1.6</v>
      </c>
      <c r="I48">
        <v>0.17981040000000001</v>
      </c>
      <c r="J48">
        <v>15.10074</v>
      </c>
      <c r="K48">
        <v>271.29969999999997</v>
      </c>
      <c r="L48">
        <v>352.50700000000001</v>
      </c>
    </row>
    <row r="49" spans="1:12" x14ac:dyDescent="0.2">
      <c r="A49" s="1">
        <v>42972.454525462963</v>
      </c>
      <c r="B49">
        <v>1766.06</v>
      </c>
      <c r="C49">
        <v>15</v>
      </c>
      <c r="D49" t="s">
        <v>36</v>
      </c>
      <c r="E49" t="s">
        <v>6</v>
      </c>
      <c r="F49" t="s">
        <v>33</v>
      </c>
      <c r="G49">
        <v>-4.042872</v>
      </c>
      <c r="H49">
        <v>1.6</v>
      </c>
      <c r="I49">
        <v>0.51272030000000002</v>
      </c>
      <c r="J49">
        <v>331.584</v>
      </c>
      <c r="K49">
        <v>292.08890000000002</v>
      </c>
      <c r="L49">
        <v>334.31459999999998</v>
      </c>
    </row>
    <row r="50" spans="1:12" x14ac:dyDescent="0.2">
      <c r="A50" s="1">
        <v>42972.454594907409</v>
      </c>
      <c r="B50">
        <v>1771.65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1.6</v>
      </c>
      <c r="I50">
        <v>-0.67300000000000004</v>
      </c>
      <c r="J50">
        <v>6.310638</v>
      </c>
      <c r="K50">
        <v>320.55180000000001</v>
      </c>
      <c r="L50">
        <v>354.5659</v>
      </c>
    </row>
    <row r="51" spans="1:12" x14ac:dyDescent="0.2">
      <c r="A51" s="1">
        <v>42972.454641203702</v>
      </c>
      <c r="B51">
        <v>1775.65</v>
      </c>
      <c r="C51">
        <v>16</v>
      </c>
      <c r="D51" t="s">
        <v>35</v>
      </c>
      <c r="E51" t="s">
        <v>4</v>
      </c>
      <c r="F51" t="s">
        <v>6</v>
      </c>
      <c r="G51">
        <v>3.9062359999999998</v>
      </c>
      <c r="H51">
        <v>1.6</v>
      </c>
      <c r="I51">
        <v>-0.48219699999999999</v>
      </c>
      <c r="J51">
        <v>32.648620000000001</v>
      </c>
      <c r="K51">
        <v>202.01949999999999</v>
      </c>
      <c r="L51">
        <v>348.08800000000002</v>
      </c>
    </row>
    <row r="52" spans="1:12" x14ac:dyDescent="0.2">
      <c r="A52" s="1">
        <v>42972.454722222225</v>
      </c>
      <c r="B52">
        <v>1782.713</v>
      </c>
      <c r="C52">
        <v>16</v>
      </c>
      <c r="D52" t="s">
        <v>36</v>
      </c>
      <c r="E52" t="s">
        <v>4</v>
      </c>
      <c r="F52" t="s">
        <v>6</v>
      </c>
      <c r="G52">
        <v>9.8019409999999993</v>
      </c>
      <c r="H52">
        <v>1.6</v>
      </c>
      <c r="I52">
        <v>0.9956661</v>
      </c>
      <c r="J52">
        <v>22.62876</v>
      </c>
      <c r="K52">
        <v>309.99959999999999</v>
      </c>
      <c r="L52">
        <v>355.63290000000001</v>
      </c>
    </row>
    <row r="53" spans="1:12" x14ac:dyDescent="0.2">
      <c r="A53" s="1">
        <v>42972.454756944448</v>
      </c>
      <c r="B53">
        <v>1785.7260000000001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1.6</v>
      </c>
      <c r="I53">
        <v>1.8169999999999999</v>
      </c>
      <c r="J53">
        <v>22.141100000000002</v>
      </c>
      <c r="K53">
        <v>314.31009999999998</v>
      </c>
      <c r="L53">
        <v>355.12520000000001</v>
      </c>
    </row>
    <row r="54" spans="1:12" x14ac:dyDescent="0.2">
      <c r="A54" s="1">
        <v>42972.45484953704</v>
      </c>
      <c r="B54">
        <v>1794.2950000000001</v>
      </c>
      <c r="C54">
        <v>17</v>
      </c>
      <c r="D54" t="s">
        <v>35</v>
      </c>
      <c r="E54" t="s">
        <v>3</v>
      </c>
      <c r="F54" t="s">
        <v>4</v>
      </c>
      <c r="G54">
        <v>3.3590439999999999</v>
      </c>
      <c r="H54">
        <v>1.6</v>
      </c>
      <c r="I54">
        <v>1.7981130000000001</v>
      </c>
      <c r="J54">
        <v>6.7702260000000001</v>
      </c>
      <c r="K54">
        <v>137.5513</v>
      </c>
      <c r="L54">
        <v>357.53179999999998</v>
      </c>
    </row>
    <row r="55" spans="1:12" x14ac:dyDescent="0.2">
      <c r="A55" s="1">
        <v>42972.455034722225</v>
      </c>
      <c r="B55">
        <v>1809.6489999999999</v>
      </c>
      <c r="C55">
        <v>17</v>
      </c>
      <c r="D55" t="s">
        <v>36</v>
      </c>
      <c r="E55" t="s">
        <v>3</v>
      </c>
      <c r="F55" t="s">
        <v>4</v>
      </c>
      <c r="G55">
        <v>-3.5500319999999999</v>
      </c>
      <c r="H55">
        <v>1.6</v>
      </c>
      <c r="I55">
        <v>-6.2447160000000004</v>
      </c>
      <c r="J55">
        <v>20.157979999999998</v>
      </c>
      <c r="K55">
        <v>150.88730000000001</v>
      </c>
      <c r="L55">
        <v>357.2253</v>
      </c>
    </row>
    <row r="56" spans="1:12" x14ac:dyDescent="0.2">
      <c r="A56" s="1">
        <v>42972.455104166664</v>
      </c>
      <c r="B56">
        <v>1815.64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1.6</v>
      </c>
      <c r="I56">
        <v>-4.3440000000000003</v>
      </c>
      <c r="J56">
        <v>354.30470000000003</v>
      </c>
      <c r="K56">
        <v>126.4581</v>
      </c>
      <c r="L56">
        <v>348.53609999999998</v>
      </c>
    </row>
    <row r="57" spans="1:12" x14ac:dyDescent="0.2">
      <c r="A57" s="1">
        <v>42972.455138888887</v>
      </c>
      <c r="B57">
        <v>1819.3219999999999</v>
      </c>
      <c r="C57">
        <v>18</v>
      </c>
      <c r="D57" t="s">
        <v>35</v>
      </c>
      <c r="E57" t="s">
        <v>2</v>
      </c>
      <c r="F57" t="s">
        <v>0</v>
      </c>
      <c r="G57">
        <v>3.489414</v>
      </c>
      <c r="H57">
        <v>1.6</v>
      </c>
      <c r="I57">
        <v>-4.3554709999999996</v>
      </c>
      <c r="J57">
        <v>9.5099909999999994</v>
      </c>
      <c r="K57">
        <v>111.36579999999999</v>
      </c>
      <c r="L57">
        <v>352.3073</v>
      </c>
    </row>
    <row r="58" spans="1:12" x14ac:dyDescent="0.2">
      <c r="A58" s="1">
        <v>42972.455300925925</v>
      </c>
      <c r="B58">
        <v>1832.8779999999999</v>
      </c>
      <c r="C58">
        <v>18</v>
      </c>
      <c r="D58" t="s">
        <v>36</v>
      </c>
      <c r="E58" t="s">
        <v>2</v>
      </c>
      <c r="F58" t="s">
        <v>0</v>
      </c>
      <c r="G58">
        <v>4.1925230000000004</v>
      </c>
      <c r="H58">
        <v>1.6</v>
      </c>
      <c r="I58">
        <v>4.2329309999999998</v>
      </c>
      <c r="J58">
        <v>13.10609</v>
      </c>
      <c r="K58">
        <v>310.63990000000001</v>
      </c>
      <c r="L58">
        <v>1.3019510000000001</v>
      </c>
    </row>
    <row r="59" spans="1:12" x14ac:dyDescent="0.2">
      <c r="A59" s="1">
        <v>42972.455393518518</v>
      </c>
      <c r="B59">
        <v>1841.146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1.6</v>
      </c>
      <c r="I59">
        <v>-0.67300000000000004</v>
      </c>
      <c r="J59">
        <v>4.0015010000000002</v>
      </c>
      <c r="K59">
        <v>303.89499999999998</v>
      </c>
      <c r="L59">
        <v>0.12500420000000001</v>
      </c>
    </row>
    <row r="60" spans="1:12" x14ac:dyDescent="0.2">
      <c r="A60" s="1">
        <v>42972.455439814818</v>
      </c>
      <c r="B60">
        <v>1844.6110000000001</v>
      </c>
      <c r="C60">
        <v>19</v>
      </c>
      <c r="D60" t="s">
        <v>35</v>
      </c>
      <c r="E60" t="s">
        <v>4</v>
      </c>
      <c r="F60" t="s">
        <v>6</v>
      </c>
      <c r="G60">
        <v>3.9032089999999999</v>
      </c>
      <c r="H60">
        <v>1.6</v>
      </c>
      <c r="I60">
        <v>-0.66923730000000003</v>
      </c>
      <c r="J60">
        <v>37.575980000000001</v>
      </c>
      <c r="K60">
        <v>177.33600000000001</v>
      </c>
      <c r="L60">
        <v>353.80720000000002</v>
      </c>
    </row>
    <row r="61" spans="1:12" x14ac:dyDescent="0.2">
      <c r="A61" s="1">
        <v>42972.455601851849</v>
      </c>
      <c r="B61">
        <v>1859.3219999999999</v>
      </c>
      <c r="C61">
        <v>19</v>
      </c>
      <c r="D61" t="s">
        <v>36</v>
      </c>
      <c r="E61" t="s">
        <v>4</v>
      </c>
      <c r="F61" t="s">
        <v>6</v>
      </c>
      <c r="G61">
        <v>10.751569999999999</v>
      </c>
      <c r="H61">
        <v>1.6</v>
      </c>
      <c r="I61">
        <v>0.63046089999999999</v>
      </c>
      <c r="J61">
        <v>18.762309999999999</v>
      </c>
      <c r="K61">
        <v>332.17180000000002</v>
      </c>
      <c r="L61">
        <v>356.61</v>
      </c>
    </row>
    <row r="62" spans="1:12" x14ac:dyDescent="0.2">
      <c r="A62" s="1">
        <v>42972.455636574072</v>
      </c>
      <c r="B62">
        <v>1861.5650000000001</v>
      </c>
      <c r="C62">
        <v>20</v>
      </c>
      <c r="D62" t="s">
        <v>34</v>
      </c>
      <c r="E62" t="s">
        <v>33</v>
      </c>
      <c r="F62" t="s">
        <v>3</v>
      </c>
      <c r="G62">
        <v>-3.9809999999999999</v>
      </c>
      <c r="H62">
        <v>1.6</v>
      </c>
      <c r="I62">
        <v>-1.4059999999999999</v>
      </c>
      <c r="J62">
        <v>19.88843</v>
      </c>
      <c r="K62">
        <v>339.7158</v>
      </c>
      <c r="L62">
        <v>357.14879999999999</v>
      </c>
    </row>
    <row r="63" spans="1:12" x14ac:dyDescent="0.2">
      <c r="A63" s="1">
        <v>42972.455694444441</v>
      </c>
      <c r="B63">
        <v>1866.904</v>
      </c>
      <c r="C63">
        <v>20</v>
      </c>
      <c r="D63" t="s">
        <v>35</v>
      </c>
      <c r="E63" t="s">
        <v>33</v>
      </c>
      <c r="F63" t="s">
        <v>3</v>
      </c>
      <c r="G63">
        <v>-3.711627</v>
      </c>
      <c r="H63">
        <v>1.6</v>
      </c>
      <c r="I63">
        <v>-1.680331</v>
      </c>
      <c r="J63">
        <v>11.04904</v>
      </c>
      <c r="K63">
        <v>128.32650000000001</v>
      </c>
      <c r="L63">
        <v>2.1943549999999998</v>
      </c>
    </row>
    <row r="64" spans="1:12" x14ac:dyDescent="0.2">
      <c r="A64" s="1">
        <v>42972.455833333333</v>
      </c>
      <c r="B64">
        <v>1879.239</v>
      </c>
      <c r="C64">
        <v>20</v>
      </c>
      <c r="D64" t="s">
        <v>36</v>
      </c>
      <c r="E64" t="s">
        <v>33</v>
      </c>
      <c r="F64" t="s">
        <v>3</v>
      </c>
      <c r="G64">
        <v>-0.56070330000000002</v>
      </c>
      <c r="H64">
        <v>1.6</v>
      </c>
      <c r="I64">
        <v>-10.007199999999999</v>
      </c>
      <c r="J64">
        <v>5.0108899999999998</v>
      </c>
      <c r="K64">
        <v>64.541340000000005</v>
      </c>
      <c r="L64">
        <v>355.74090000000001</v>
      </c>
    </row>
    <row r="65" spans="1:12" x14ac:dyDescent="0.2">
      <c r="A65" s="1">
        <v>42972.45585648148</v>
      </c>
      <c r="B65">
        <v>1881.08</v>
      </c>
      <c r="C65">
        <v>21</v>
      </c>
      <c r="D65" t="s">
        <v>34</v>
      </c>
      <c r="E65" t="s">
        <v>0</v>
      </c>
      <c r="F65" t="s">
        <v>1</v>
      </c>
      <c r="G65">
        <v>-0.85</v>
      </c>
      <c r="H65">
        <v>1.6</v>
      </c>
      <c r="I65">
        <v>-4.117</v>
      </c>
      <c r="J65">
        <v>352.42559999999997</v>
      </c>
      <c r="K65">
        <v>68.422709999999995</v>
      </c>
      <c r="L65">
        <v>353.49040000000002</v>
      </c>
    </row>
    <row r="66" spans="1:12" x14ac:dyDescent="0.2">
      <c r="A66" s="1">
        <v>42972.455937500003</v>
      </c>
      <c r="B66">
        <v>1887.5730000000001</v>
      </c>
      <c r="C66">
        <v>21</v>
      </c>
      <c r="D66" t="s">
        <v>35</v>
      </c>
      <c r="E66" t="s">
        <v>0</v>
      </c>
      <c r="F66" t="s">
        <v>1</v>
      </c>
      <c r="G66">
        <v>-0.90548090000000003</v>
      </c>
      <c r="H66">
        <v>1.6</v>
      </c>
      <c r="I66">
        <v>-4.214302</v>
      </c>
      <c r="J66">
        <v>357.62279999999998</v>
      </c>
      <c r="K66">
        <v>192.63470000000001</v>
      </c>
      <c r="L66">
        <v>357.84140000000002</v>
      </c>
    </row>
    <row r="67" spans="1:12" x14ac:dyDescent="0.2">
      <c r="A67" s="1">
        <v>42972.456087962964</v>
      </c>
      <c r="B67">
        <v>1901.0619999999999</v>
      </c>
      <c r="C67">
        <v>21</v>
      </c>
      <c r="D67" t="s">
        <v>36</v>
      </c>
      <c r="E67" t="s">
        <v>0</v>
      </c>
      <c r="F67" t="s">
        <v>1</v>
      </c>
      <c r="G67">
        <v>-10.11331</v>
      </c>
      <c r="H67">
        <v>1.6</v>
      </c>
      <c r="I67">
        <v>4.5385790000000004</v>
      </c>
      <c r="J67">
        <v>22.289819999999999</v>
      </c>
      <c r="K67">
        <v>230.21809999999999</v>
      </c>
      <c r="L67">
        <v>354.26569999999998</v>
      </c>
    </row>
    <row r="68" spans="1:12" x14ac:dyDescent="0.2">
      <c r="A68" s="1">
        <v>42972.456180555557</v>
      </c>
      <c r="B68">
        <v>1909.1289999999999</v>
      </c>
      <c r="C68">
        <v>22</v>
      </c>
      <c r="D68" t="s">
        <v>34</v>
      </c>
      <c r="E68" t="s">
        <v>1</v>
      </c>
      <c r="F68" t="s">
        <v>5</v>
      </c>
      <c r="G68">
        <v>-4.0789999999999997</v>
      </c>
      <c r="H68">
        <v>1.6</v>
      </c>
      <c r="I68">
        <v>4.1399999999999997</v>
      </c>
      <c r="J68">
        <v>18.70214</v>
      </c>
      <c r="K68">
        <v>203.3766</v>
      </c>
      <c r="L68">
        <v>348.59640000000002</v>
      </c>
    </row>
    <row r="69" spans="1:12" x14ac:dyDescent="0.2">
      <c r="A69" s="1">
        <v>42972.456238425926</v>
      </c>
      <c r="B69">
        <v>1913.8489999999999</v>
      </c>
      <c r="C69">
        <v>22</v>
      </c>
      <c r="D69" t="s">
        <v>35</v>
      </c>
      <c r="E69" t="s">
        <v>1</v>
      </c>
      <c r="F69" t="s">
        <v>5</v>
      </c>
      <c r="G69">
        <v>-3.9970669999999999</v>
      </c>
      <c r="H69">
        <v>1.6</v>
      </c>
      <c r="I69">
        <v>4.1466079999999996</v>
      </c>
      <c r="J69">
        <v>10.07451</v>
      </c>
      <c r="K69">
        <v>105.2448</v>
      </c>
      <c r="L69">
        <v>349.36309999999997</v>
      </c>
    </row>
    <row r="70" spans="1:12" x14ac:dyDescent="0.2">
      <c r="A70" s="1">
        <v>42972.456365740742</v>
      </c>
      <c r="B70">
        <v>1924.778</v>
      </c>
      <c r="C70">
        <v>22</v>
      </c>
      <c r="D70" t="s">
        <v>36</v>
      </c>
      <c r="E70" t="s">
        <v>1</v>
      </c>
      <c r="F70" t="s">
        <v>5</v>
      </c>
      <c r="G70">
        <v>-2.1507290000000001</v>
      </c>
      <c r="H70">
        <v>1.6</v>
      </c>
      <c r="I70">
        <v>-3.8654570000000001</v>
      </c>
      <c r="J70">
        <v>8.4718999999999998</v>
      </c>
      <c r="K70">
        <v>92.607320000000001</v>
      </c>
      <c r="L70">
        <v>353.30040000000002</v>
      </c>
    </row>
    <row r="71" spans="1:12" x14ac:dyDescent="0.2">
      <c r="A71" s="1">
        <v>42972.456377314818</v>
      </c>
      <c r="B71">
        <v>1925.866</v>
      </c>
      <c r="C71">
        <v>23</v>
      </c>
      <c r="D71" t="s">
        <v>34</v>
      </c>
      <c r="E71" t="s">
        <v>6</v>
      </c>
      <c r="F71" t="s">
        <v>33</v>
      </c>
      <c r="G71">
        <v>-4.1100000000000003</v>
      </c>
      <c r="H71">
        <v>1.6</v>
      </c>
      <c r="I71">
        <v>0.09</v>
      </c>
      <c r="J71">
        <v>11.266999999999999</v>
      </c>
      <c r="K71">
        <v>91.380290000000002</v>
      </c>
      <c r="L71">
        <v>349.53089999999997</v>
      </c>
    </row>
    <row r="72" spans="1:12" x14ac:dyDescent="0.2">
      <c r="A72" s="1">
        <v>42972.456435185188</v>
      </c>
      <c r="B72">
        <v>1930.607</v>
      </c>
      <c r="C72">
        <v>23</v>
      </c>
      <c r="D72" t="s">
        <v>35</v>
      </c>
      <c r="E72" t="s">
        <v>6</v>
      </c>
      <c r="F72" t="s">
        <v>33</v>
      </c>
      <c r="G72">
        <v>-4.053661</v>
      </c>
      <c r="H72">
        <v>1.6</v>
      </c>
      <c r="I72">
        <v>9.108289E-2</v>
      </c>
      <c r="J72">
        <v>20.25948</v>
      </c>
      <c r="K72">
        <v>357.37270000000001</v>
      </c>
      <c r="L72">
        <v>354.85329999999999</v>
      </c>
    </row>
    <row r="73" spans="1:12" x14ac:dyDescent="0.2">
      <c r="A73" s="1">
        <v>42972.456516203703</v>
      </c>
      <c r="B73">
        <v>1938.2719999999999</v>
      </c>
      <c r="C73">
        <v>23</v>
      </c>
      <c r="D73" t="s">
        <v>36</v>
      </c>
      <c r="E73" t="s">
        <v>6</v>
      </c>
      <c r="F73" t="s">
        <v>33</v>
      </c>
      <c r="G73">
        <v>-1.7902309999999999</v>
      </c>
      <c r="H73">
        <v>1.6</v>
      </c>
      <c r="I73">
        <v>4.7807170000000001</v>
      </c>
      <c r="J73">
        <v>15.999700000000001</v>
      </c>
      <c r="K73">
        <v>286.31830000000002</v>
      </c>
      <c r="L73">
        <v>347.50889999999998</v>
      </c>
    </row>
    <row r="74" spans="1:12" x14ac:dyDescent="0.2">
      <c r="A74" s="1">
        <v>42972.45653935185</v>
      </c>
      <c r="B74">
        <v>1939.829</v>
      </c>
      <c r="C74">
        <v>24</v>
      </c>
      <c r="D74" t="s">
        <v>34</v>
      </c>
      <c r="E74" t="s">
        <v>5</v>
      </c>
      <c r="F74" t="s">
        <v>2</v>
      </c>
      <c r="G74">
        <v>1.6E-2</v>
      </c>
      <c r="H74">
        <v>1.6</v>
      </c>
      <c r="I74">
        <v>2.7240000000000002</v>
      </c>
      <c r="J74">
        <v>14.158379999999999</v>
      </c>
      <c r="K74">
        <v>306.101</v>
      </c>
      <c r="L74">
        <v>342.90289999999999</v>
      </c>
    </row>
    <row r="75" spans="1:12" x14ac:dyDescent="0.2">
      <c r="A75" s="1">
        <v>42972.456608796296</v>
      </c>
      <c r="B75">
        <v>1946.172</v>
      </c>
      <c r="C75">
        <v>24</v>
      </c>
      <c r="D75" t="s">
        <v>35</v>
      </c>
      <c r="E75" t="s">
        <v>5</v>
      </c>
      <c r="F75" t="s">
        <v>2</v>
      </c>
      <c r="G75">
        <v>0.21907380000000001</v>
      </c>
      <c r="H75">
        <v>1.6</v>
      </c>
      <c r="I75">
        <v>2.7101630000000001</v>
      </c>
      <c r="J75">
        <v>18.572790000000001</v>
      </c>
      <c r="K75">
        <v>11.50095</v>
      </c>
      <c r="L75">
        <v>3.6221380000000001</v>
      </c>
    </row>
    <row r="76" spans="1:12" x14ac:dyDescent="0.2">
      <c r="A76" s="1">
        <v>42972.456747685188</v>
      </c>
      <c r="B76">
        <v>1957.6869999999999</v>
      </c>
      <c r="C76">
        <v>24</v>
      </c>
      <c r="D76" t="s">
        <v>36</v>
      </c>
      <c r="E76" t="s">
        <v>5</v>
      </c>
      <c r="F76" t="s">
        <v>2</v>
      </c>
      <c r="G76">
        <v>-4.7029480000000001</v>
      </c>
      <c r="H76">
        <v>1.6</v>
      </c>
      <c r="I76">
        <v>6.7438700000000003</v>
      </c>
      <c r="J76">
        <v>25.526859999999999</v>
      </c>
      <c r="K76">
        <v>222.36869999999999</v>
      </c>
      <c r="L76">
        <v>359.10399999999998</v>
      </c>
    </row>
    <row r="77" spans="1:12" x14ac:dyDescent="0.2">
      <c r="A77" s="1">
        <v>42972.456770833334</v>
      </c>
      <c r="B77">
        <v>1960.3309999999999</v>
      </c>
      <c r="C77">
        <v>25</v>
      </c>
      <c r="D77" t="s">
        <v>34</v>
      </c>
      <c r="E77" t="s">
        <v>1</v>
      </c>
      <c r="F77" t="s">
        <v>5</v>
      </c>
      <c r="G77">
        <v>-4.0789999999999997</v>
      </c>
      <c r="H77">
        <v>1.6</v>
      </c>
      <c r="I77">
        <v>4.1399999999999997</v>
      </c>
      <c r="J77">
        <v>25.338719999999999</v>
      </c>
      <c r="K77">
        <v>222.92830000000001</v>
      </c>
      <c r="L77">
        <v>357.34519999999998</v>
      </c>
    </row>
    <row r="78" spans="1:12" x14ac:dyDescent="0.2">
      <c r="A78" s="1">
        <v>42972.456990740742</v>
      </c>
      <c r="B78">
        <v>1979.194</v>
      </c>
      <c r="C78">
        <v>25</v>
      </c>
      <c r="D78" t="s">
        <v>35</v>
      </c>
      <c r="E78" t="s">
        <v>1</v>
      </c>
      <c r="F78" t="s">
        <v>5</v>
      </c>
      <c r="G78">
        <v>-3.9353349999999998</v>
      </c>
      <c r="H78">
        <v>1.6</v>
      </c>
      <c r="I78">
        <v>3.5796969999999999</v>
      </c>
      <c r="J78">
        <v>16.702570000000001</v>
      </c>
      <c r="K78">
        <v>2.6342660000000002</v>
      </c>
      <c r="L78">
        <v>357.71519999999998</v>
      </c>
    </row>
    <row r="79" spans="1:12" x14ac:dyDescent="0.2">
      <c r="A79" s="1">
        <v>42972.457002314812</v>
      </c>
      <c r="B79">
        <v>1980.2139999999999</v>
      </c>
      <c r="C79">
        <v>25</v>
      </c>
      <c r="D79" t="s">
        <v>36</v>
      </c>
      <c r="E79" t="s">
        <v>1</v>
      </c>
      <c r="F79" t="s">
        <v>5</v>
      </c>
      <c r="G79">
        <v>-3.9346899999999998</v>
      </c>
      <c r="H79">
        <v>1.6</v>
      </c>
      <c r="I79">
        <v>3.579672</v>
      </c>
      <c r="J79">
        <v>12.312659999999999</v>
      </c>
      <c r="K79">
        <v>70.924490000000006</v>
      </c>
      <c r="L79">
        <v>3.6756470000000001</v>
      </c>
    </row>
    <row r="80" spans="1:12" x14ac:dyDescent="0.2">
      <c r="A80" s="1">
        <v>42972.460868055554</v>
      </c>
      <c r="B80">
        <v>74.952600000000004</v>
      </c>
      <c r="C80">
        <v>26</v>
      </c>
      <c r="D80" t="s">
        <v>34</v>
      </c>
      <c r="E80" t="s">
        <v>4</v>
      </c>
      <c r="F80" t="s">
        <v>6</v>
      </c>
      <c r="G80">
        <v>3.9180000000000001</v>
      </c>
      <c r="H80">
        <v>1.6</v>
      </c>
      <c r="I80">
        <v>-0.67300000000000004</v>
      </c>
      <c r="J80">
        <v>21.518650000000001</v>
      </c>
      <c r="K80">
        <v>10.55043</v>
      </c>
      <c r="L80">
        <v>358.31319999999999</v>
      </c>
    </row>
    <row r="81" spans="1:12" x14ac:dyDescent="0.2">
      <c r="A81" s="1">
        <v>42972.461261574077</v>
      </c>
      <c r="B81">
        <v>108.8997</v>
      </c>
      <c r="C81">
        <v>26</v>
      </c>
      <c r="D81" t="s">
        <v>35</v>
      </c>
      <c r="E81" t="s">
        <v>4</v>
      </c>
      <c r="F81" t="s">
        <v>6</v>
      </c>
      <c r="G81">
        <v>3.0280520000000002</v>
      </c>
      <c r="H81">
        <v>1.6</v>
      </c>
      <c r="I81">
        <v>-0.48825970000000002</v>
      </c>
      <c r="J81">
        <v>17.964379999999998</v>
      </c>
      <c r="K81">
        <v>204.5925</v>
      </c>
      <c r="L81">
        <v>1.547544</v>
      </c>
    </row>
    <row r="82" spans="1:12" x14ac:dyDescent="0.2">
      <c r="A82" s="1">
        <v>42972.461365740739</v>
      </c>
      <c r="B82">
        <v>118.4259</v>
      </c>
      <c r="C82">
        <v>26</v>
      </c>
      <c r="D82" t="s">
        <v>36</v>
      </c>
      <c r="E82" t="s">
        <v>4</v>
      </c>
      <c r="F82" t="s">
        <v>6</v>
      </c>
      <c r="G82">
        <v>3.0257710000000002</v>
      </c>
      <c r="H82">
        <v>1.6</v>
      </c>
      <c r="I82">
        <v>-0.53620330000000005</v>
      </c>
      <c r="J82">
        <v>10.30438</v>
      </c>
      <c r="K82">
        <v>61.410670000000003</v>
      </c>
      <c r="L82">
        <v>359.03590000000003</v>
      </c>
    </row>
    <row r="83" spans="1:12" x14ac:dyDescent="0.2">
      <c r="A83" s="1">
        <v>42972.461412037039</v>
      </c>
      <c r="B83">
        <v>121.7403</v>
      </c>
      <c r="C83">
        <v>27</v>
      </c>
      <c r="D83" t="s">
        <v>34</v>
      </c>
      <c r="E83" t="s">
        <v>5</v>
      </c>
      <c r="F83" t="s">
        <v>2</v>
      </c>
      <c r="G83">
        <v>1.6E-2</v>
      </c>
      <c r="H83">
        <v>1.6</v>
      </c>
      <c r="I83">
        <v>2.7240000000000002</v>
      </c>
      <c r="J83">
        <v>10.0983</v>
      </c>
      <c r="K83">
        <v>61.237720000000003</v>
      </c>
      <c r="L83">
        <v>358.66849999999999</v>
      </c>
    </row>
    <row r="84" spans="1:12" x14ac:dyDescent="0.2">
      <c r="A84" s="1">
        <v>42972.461504629631</v>
      </c>
      <c r="B84">
        <v>130.0266</v>
      </c>
      <c r="C84">
        <v>27</v>
      </c>
      <c r="D84" t="s">
        <v>35</v>
      </c>
      <c r="E84" t="s">
        <v>5</v>
      </c>
      <c r="F84" t="s">
        <v>2</v>
      </c>
      <c r="G84">
        <v>0.1440439</v>
      </c>
      <c r="H84">
        <v>1.6</v>
      </c>
      <c r="I84">
        <v>2.6991770000000002</v>
      </c>
      <c r="J84">
        <v>19.424189999999999</v>
      </c>
      <c r="K84">
        <v>101.48560000000001</v>
      </c>
      <c r="L84">
        <v>1.032597</v>
      </c>
    </row>
    <row r="85" spans="1:12" x14ac:dyDescent="0.2">
      <c r="A85" s="1">
        <v>42972.461608796293</v>
      </c>
      <c r="B85">
        <v>138.66470000000001</v>
      </c>
      <c r="C85">
        <v>27</v>
      </c>
      <c r="D85" t="s">
        <v>36</v>
      </c>
      <c r="E85" t="s">
        <v>5</v>
      </c>
      <c r="F85" t="s">
        <v>2</v>
      </c>
      <c r="G85">
        <v>-3.9873690000000002</v>
      </c>
      <c r="H85">
        <v>1.6</v>
      </c>
      <c r="I85">
        <v>1.974796</v>
      </c>
      <c r="J85">
        <v>14.82131</v>
      </c>
      <c r="K85">
        <v>181.5334</v>
      </c>
      <c r="L85">
        <v>0.98588529999999996</v>
      </c>
    </row>
    <row r="86" spans="1:12" x14ac:dyDescent="0.2">
      <c r="A86" s="1">
        <v>42972.461689814816</v>
      </c>
      <c r="B86">
        <v>146.38489999999999</v>
      </c>
      <c r="C86">
        <v>28</v>
      </c>
      <c r="D86" t="s">
        <v>34</v>
      </c>
      <c r="E86" t="s">
        <v>0</v>
      </c>
      <c r="F86" t="s">
        <v>1</v>
      </c>
      <c r="G86">
        <v>-0.85</v>
      </c>
      <c r="H86">
        <v>1.6</v>
      </c>
      <c r="I86">
        <v>-4.117</v>
      </c>
      <c r="J86">
        <v>10.82756</v>
      </c>
      <c r="K86">
        <v>181.05410000000001</v>
      </c>
      <c r="L86">
        <v>0.1685014</v>
      </c>
    </row>
    <row r="87" spans="1:12" x14ac:dyDescent="0.2">
      <c r="A87" s="1">
        <v>42972.461736111109</v>
      </c>
      <c r="B87">
        <v>149.6302</v>
      </c>
      <c r="C87">
        <v>28</v>
      </c>
      <c r="D87" t="s">
        <v>35</v>
      </c>
      <c r="E87" t="s">
        <v>0</v>
      </c>
      <c r="F87" t="s">
        <v>1</v>
      </c>
      <c r="G87">
        <v>-0.75433059999999996</v>
      </c>
      <c r="H87">
        <v>1.6</v>
      </c>
      <c r="I87">
        <v>-4.1272099999999998</v>
      </c>
      <c r="J87">
        <v>32.244610000000002</v>
      </c>
      <c r="K87">
        <v>12.64884</v>
      </c>
      <c r="L87">
        <v>2.5640399999999999</v>
      </c>
    </row>
    <row r="88" spans="1:12" x14ac:dyDescent="0.2">
      <c r="A88" s="1">
        <v>42972.461875000001</v>
      </c>
      <c r="B88">
        <v>161.79939999999999</v>
      </c>
      <c r="C88">
        <v>28</v>
      </c>
      <c r="D88" t="s">
        <v>36</v>
      </c>
      <c r="E88" t="s">
        <v>0</v>
      </c>
      <c r="F88" t="s">
        <v>1</v>
      </c>
      <c r="G88">
        <v>-5.5945369999999999</v>
      </c>
      <c r="H88">
        <v>1.6</v>
      </c>
      <c r="I88">
        <v>5.2757820000000004</v>
      </c>
      <c r="J88">
        <v>12.63415</v>
      </c>
      <c r="K88">
        <v>259.7552</v>
      </c>
      <c r="L88">
        <v>1.484823</v>
      </c>
    </row>
    <row r="89" spans="1:12" x14ac:dyDescent="0.2">
      <c r="A89" s="1">
        <v>42972.46193287037</v>
      </c>
      <c r="B89">
        <v>167.3399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1.6</v>
      </c>
      <c r="I89">
        <v>-1.4059999999999999</v>
      </c>
      <c r="J89">
        <v>9.6943490000000008</v>
      </c>
      <c r="K89">
        <v>241.20750000000001</v>
      </c>
      <c r="L89">
        <v>353.67700000000002</v>
      </c>
    </row>
    <row r="90" spans="1:12" x14ac:dyDescent="0.2">
      <c r="A90" s="1">
        <v>42972.461967592593</v>
      </c>
      <c r="B90">
        <v>170.0515</v>
      </c>
      <c r="C90">
        <v>29</v>
      </c>
      <c r="D90" t="s">
        <v>35</v>
      </c>
      <c r="E90" t="s">
        <v>33</v>
      </c>
      <c r="F90" t="s">
        <v>3</v>
      </c>
      <c r="G90">
        <v>-4.0428389999999998</v>
      </c>
      <c r="H90">
        <v>1.6</v>
      </c>
      <c r="I90">
        <v>-1.3983190000000001</v>
      </c>
      <c r="J90">
        <v>34.859020000000001</v>
      </c>
      <c r="K90">
        <v>8.7851199999999992</v>
      </c>
      <c r="L90">
        <v>353.35500000000002</v>
      </c>
    </row>
    <row r="91" spans="1:12" x14ac:dyDescent="0.2">
      <c r="A91" s="1">
        <v>42972.462106481478</v>
      </c>
      <c r="B91">
        <v>181.76939999999999</v>
      </c>
      <c r="C91">
        <v>29</v>
      </c>
      <c r="D91" t="s">
        <v>36</v>
      </c>
      <c r="E91" t="s">
        <v>33</v>
      </c>
      <c r="F91" t="s">
        <v>3</v>
      </c>
      <c r="G91">
        <v>-3.8730660000000001</v>
      </c>
      <c r="H91">
        <v>1.6</v>
      </c>
      <c r="I91">
        <v>-10.88631</v>
      </c>
      <c r="J91">
        <v>17.272870000000001</v>
      </c>
      <c r="K91">
        <v>69.10136</v>
      </c>
      <c r="L91">
        <v>358.99930000000001</v>
      </c>
    </row>
    <row r="92" spans="1:12" x14ac:dyDescent="0.2">
      <c r="A92" s="1">
        <v>42972.462118055555</v>
      </c>
      <c r="B92">
        <v>183.44309999999999</v>
      </c>
      <c r="C92">
        <v>30</v>
      </c>
      <c r="D92" t="s">
        <v>34</v>
      </c>
      <c r="E92" t="s">
        <v>6</v>
      </c>
      <c r="F92" t="s">
        <v>33</v>
      </c>
      <c r="G92">
        <v>-4.1100000000000003</v>
      </c>
      <c r="H92">
        <v>1.6</v>
      </c>
      <c r="I92">
        <v>0.09</v>
      </c>
      <c r="J92">
        <v>9.3935700000000004</v>
      </c>
      <c r="K92">
        <v>88.422300000000007</v>
      </c>
      <c r="L92">
        <v>343.00830000000002</v>
      </c>
    </row>
    <row r="93" spans="1:12" x14ac:dyDescent="0.2">
      <c r="A93" s="1">
        <v>42972.462152777778</v>
      </c>
      <c r="B93">
        <v>185.7362</v>
      </c>
      <c r="C93">
        <v>30</v>
      </c>
      <c r="D93" t="s">
        <v>35</v>
      </c>
      <c r="E93" t="s">
        <v>6</v>
      </c>
      <c r="F93" t="s">
        <v>33</v>
      </c>
      <c r="G93">
        <v>-4.0355369999999997</v>
      </c>
      <c r="H93">
        <v>1.6</v>
      </c>
      <c r="I93">
        <v>-1.475243E-2</v>
      </c>
      <c r="J93">
        <v>37.205509999999997</v>
      </c>
      <c r="K93">
        <v>347.25670000000002</v>
      </c>
      <c r="L93">
        <v>343.35509999999999</v>
      </c>
    </row>
    <row r="94" spans="1:12" x14ac:dyDescent="0.2">
      <c r="A94" s="1">
        <v>42972.462337962963</v>
      </c>
      <c r="B94">
        <v>202.4248</v>
      </c>
      <c r="C94">
        <v>30</v>
      </c>
      <c r="D94" t="s">
        <v>36</v>
      </c>
      <c r="E94" t="s">
        <v>6</v>
      </c>
      <c r="F94" t="s">
        <v>33</v>
      </c>
      <c r="G94">
        <v>-5.1282420000000002</v>
      </c>
      <c r="H94">
        <v>1.6</v>
      </c>
      <c r="I94">
        <v>2.0716060000000001</v>
      </c>
      <c r="J94">
        <v>15.186920000000001</v>
      </c>
      <c r="K94">
        <v>336.32729999999998</v>
      </c>
      <c r="L94">
        <v>359.11759999999998</v>
      </c>
    </row>
    <row r="95" spans="1:12" x14ac:dyDescent="0.2">
      <c r="A95" s="1">
        <v>42972.462361111109</v>
      </c>
      <c r="B95">
        <v>204.4</v>
      </c>
      <c r="C95">
        <v>31</v>
      </c>
      <c r="D95" t="s">
        <v>34</v>
      </c>
      <c r="E95" t="s">
        <v>2</v>
      </c>
      <c r="F95" t="s">
        <v>0</v>
      </c>
      <c r="G95">
        <v>3.516</v>
      </c>
      <c r="H95">
        <v>1.6</v>
      </c>
      <c r="I95">
        <v>-4.3440000000000003</v>
      </c>
      <c r="J95">
        <v>12.594620000000001</v>
      </c>
      <c r="K95">
        <v>338.3553</v>
      </c>
      <c r="L95">
        <v>358.62220000000002</v>
      </c>
    </row>
    <row r="96" spans="1:12" x14ac:dyDescent="0.2">
      <c r="A96" s="1">
        <v>42972.462418981479</v>
      </c>
      <c r="B96">
        <v>208.8193</v>
      </c>
      <c r="C96">
        <v>31</v>
      </c>
      <c r="D96" t="s">
        <v>35</v>
      </c>
      <c r="E96" t="s">
        <v>2</v>
      </c>
      <c r="F96" t="s">
        <v>0</v>
      </c>
      <c r="G96">
        <v>3.6502279999999998</v>
      </c>
      <c r="H96">
        <v>1.6</v>
      </c>
      <c r="I96">
        <v>-4.3825190000000003</v>
      </c>
      <c r="J96">
        <v>11.14433</v>
      </c>
      <c r="K96">
        <v>196.1182</v>
      </c>
      <c r="L96">
        <v>1.3277399999999999</v>
      </c>
    </row>
    <row r="97" spans="1:12" x14ac:dyDescent="0.2">
      <c r="A97" s="1">
        <v>42972.462511574071</v>
      </c>
      <c r="B97">
        <v>217.20529999999999</v>
      </c>
      <c r="C97">
        <v>31</v>
      </c>
      <c r="D97" t="s">
        <v>36</v>
      </c>
      <c r="E97" t="s">
        <v>2</v>
      </c>
      <c r="F97" t="s">
        <v>0</v>
      </c>
      <c r="G97">
        <v>-2.6037240000000001</v>
      </c>
      <c r="H97">
        <v>1.6</v>
      </c>
      <c r="I97">
        <v>-3.8560509999999999</v>
      </c>
      <c r="J97">
        <v>10.75192</v>
      </c>
      <c r="K97">
        <v>194.10429999999999</v>
      </c>
      <c r="L97">
        <v>359.92939999999999</v>
      </c>
    </row>
    <row r="98" spans="1:12" x14ac:dyDescent="0.2">
      <c r="A98" s="1">
        <v>42972.462581018517</v>
      </c>
      <c r="B98">
        <v>223.19749999999999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1.6</v>
      </c>
      <c r="I98">
        <v>1.8169999999999999</v>
      </c>
      <c r="J98">
        <v>17.95946</v>
      </c>
      <c r="K98">
        <v>197.7362</v>
      </c>
      <c r="L98">
        <v>359.03309999999999</v>
      </c>
    </row>
    <row r="99" spans="1:12" x14ac:dyDescent="0.2">
      <c r="A99" s="1">
        <v>42972.462638888886</v>
      </c>
      <c r="B99">
        <v>228.1687</v>
      </c>
      <c r="C99">
        <v>32</v>
      </c>
      <c r="D99" t="s">
        <v>35</v>
      </c>
      <c r="E99" t="s">
        <v>3</v>
      </c>
      <c r="F99" t="s">
        <v>4</v>
      </c>
      <c r="G99">
        <v>3.3698980000000001</v>
      </c>
      <c r="H99">
        <v>1.6</v>
      </c>
      <c r="I99">
        <v>1.847618</v>
      </c>
      <c r="J99">
        <v>21.997409999999999</v>
      </c>
      <c r="K99">
        <v>119.4554</v>
      </c>
      <c r="L99">
        <v>354.45179999999999</v>
      </c>
    </row>
    <row r="100" spans="1:12" x14ac:dyDescent="0.2">
      <c r="A100" s="1">
        <v>42972.462766203702</v>
      </c>
      <c r="B100">
        <v>238.697</v>
      </c>
      <c r="C100">
        <v>32</v>
      </c>
      <c r="D100" t="s">
        <v>36</v>
      </c>
      <c r="E100" t="s">
        <v>3</v>
      </c>
      <c r="F100" t="s">
        <v>4</v>
      </c>
      <c r="G100">
        <v>-1.9630069999999999</v>
      </c>
      <c r="H100">
        <v>1.6</v>
      </c>
      <c r="I100">
        <v>3.3641839999999998</v>
      </c>
      <c r="J100">
        <v>12.19534</v>
      </c>
      <c r="K100">
        <v>203.86009999999999</v>
      </c>
      <c r="L100">
        <v>359.86759999999998</v>
      </c>
    </row>
    <row r="101" spans="1:12" x14ac:dyDescent="0.2">
      <c r="A101" s="1">
        <v>42972.462777777779</v>
      </c>
      <c r="B101">
        <v>239.91890000000001</v>
      </c>
      <c r="C101">
        <v>33</v>
      </c>
      <c r="D101" t="s">
        <v>34</v>
      </c>
      <c r="E101" t="s">
        <v>6</v>
      </c>
      <c r="F101" t="s">
        <v>33</v>
      </c>
      <c r="G101">
        <v>-4.1100000000000003</v>
      </c>
      <c r="H101">
        <v>1.6</v>
      </c>
      <c r="I101">
        <v>0.09</v>
      </c>
      <c r="J101">
        <v>14.005710000000001</v>
      </c>
      <c r="K101">
        <v>208.75839999999999</v>
      </c>
      <c r="L101">
        <v>357.73579999999998</v>
      </c>
    </row>
    <row r="102" spans="1:12" x14ac:dyDescent="0.2">
      <c r="A102" s="1">
        <v>42972.462824074071</v>
      </c>
      <c r="B102">
        <v>244.52199999999999</v>
      </c>
      <c r="C102">
        <v>33</v>
      </c>
      <c r="D102" t="s">
        <v>35</v>
      </c>
      <c r="E102" t="s">
        <v>6</v>
      </c>
      <c r="F102" t="s">
        <v>33</v>
      </c>
      <c r="G102">
        <v>-4.0989380000000004</v>
      </c>
      <c r="H102">
        <v>1.6</v>
      </c>
      <c r="I102">
        <v>0.1049741</v>
      </c>
      <c r="J102">
        <v>30.956119999999999</v>
      </c>
      <c r="K102">
        <v>31.71481</v>
      </c>
      <c r="L102">
        <v>343.3279</v>
      </c>
    </row>
    <row r="103" spans="1:12" x14ac:dyDescent="0.2">
      <c r="A103" s="1">
        <v>42972.462847222225</v>
      </c>
      <c r="B103">
        <v>245.54300000000001</v>
      </c>
      <c r="C103">
        <v>33</v>
      </c>
      <c r="D103" t="s">
        <v>36</v>
      </c>
      <c r="E103" t="s">
        <v>6</v>
      </c>
      <c r="F103" t="s">
        <v>33</v>
      </c>
      <c r="G103">
        <v>-4.0855189999999997</v>
      </c>
      <c r="H103">
        <v>1.6</v>
      </c>
      <c r="I103">
        <v>9.8348630000000006E-2</v>
      </c>
      <c r="J103">
        <v>17.526219999999999</v>
      </c>
      <c r="K103">
        <v>61.49306</v>
      </c>
      <c r="L103">
        <v>359.3544</v>
      </c>
    </row>
    <row r="104" spans="1:12" x14ac:dyDescent="0.2">
      <c r="A104" s="1">
        <v>42972.462870370371</v>
      </c>
      <c r="B104">
        <v>247.61859999999999</v>
      </c>
      <c r="C104">
        <v>34</v>
      </c>
      <c r="D104" t="s">
        <v>34</v>
      </c>
      <c r="E104" t="s">
        <v>4</v>
      </c>
      <c r="F104" t="s">
        <v>6</v>
      </c>
      <c r="G104">
        <v>3.9180000000000001</v>
      </c>
      <c r="H104">
        <v>1.6</v>
      </c>
      <c r="I104">
        <v>-0.67300000000000004</v>
      </c>
      <c r="J104">
        <v>6.8198059999999998</v>
      </c>
      <c r="K104">
        <v>117.8695</v>
      </c>
      <c r="L104">
        <v>0.47027259999999999</v>
      </c>
    </row>
    <row r="105" spans="1:12" x14ac:dyDescent="0.2">
      <c r="A105" s="1">
        <v>42972.462905092594</v>
      </c>
      <c r="B105">
        <v>251.43469999999999</v>
      </c>
      <c r="C105">
        <v>34</v>
      </c>
      <c r="D105" t="s">
        <v>35</v>
      </c>
      <c r="E105" t="s">
        <v>4</v>
      </c>
      <c r="F105" t="s">
        <v>6</v>
      </c>
      <c r="G105">
        <v>3.9727100000000002</v>
      </c>
      <c r="H105">
        <v>1.6</v>
      </c>
      <c r="I105">
        <v>-0.81567409999999996</v>
      </c>
      <c r="J105">
        <v>35.281880000000001</v>
      </c>
      <c r="K105">
        <v>198.4332</v>
      </c>
      <c r="L105">
        <v>7.3355259999999998</v>
      </c>
    </row>
    <row r="106" spans="1:12" x14ac:dyDescent="0.2">
      <c r="A106" s="1">
        <v>42972.463020833333</v>
      </c>
      <c r="B106">
        <v>261.25959999999998</v>
      </c>
      <c r="C106">
        <v>34</v>
      </c>
      <c r="D106" t="s">
        <v>36</v>
      </c>
      <c r="E106" t="s">
        <v>4</v>
      </c>
      <c r="F106" t="s">
        <v>6</v>
      </c>
      <c r="G106">
        <v>9.570112</v>
      </c>
      <c r="H106">
        <v>1.6</v>
      </c>
      <c r="I106">
        <v>-1.6469510000000001</v>
      </c>
      <c r="J106">
        <v>13.27351</v>
      </c>
      <c r="K106">
        <v>55.559780000000003</v>
      </c>
      <c r="L106">
        <v>3.338419</v>
      </c>
    </row>
    <row r="107" spans="1:12" x14ac:dyDescent="0.2">
      <c r="A107" s="1">
        <v>42972.46303240741</v>
      </c>
      <c r="B107">
        <v>262.26389999999998</v>
      </c>
      <c r="C107">
        <v>35</v>
      </c>
      <c r="D107" t="s">
        <v>34</v>
      </c>
      <c r="E107" t="s">
        <v>5</v>
      </c>
      <c r="F107" t="s">
        <v>2</v>
      </c>
      <c r="G107">
        <v>1.6E-2</v>
      </c>
      <c r="H107">
        <v>1.6</v>
      </c>
      <c r="I107">
        <v>2.7240000000000002</v>
      </c>
      <c r="J107">
        <v>11.084569999999999</v>
      </c>
      <c r="K107">
        <v>55.866070000000001</v>
      </c>
      <c r="L107">
        <v>0.55990090000000003</v>
      </c>
    </row>
    <row r="108" spans="1:12" x14ac:dyDescent="0.2">
      <c r="A108" s="1">
        <v>42972.463067129633</v>
      </c>
      <c r="B108">
        <v>264.95870000000002</v>
      </c>
      <c r="C108">
        <v>35</v>
      </c>
      <c r="D108" t="s">
        <v>35</v>
      </c>
      <c r="E108" t="s">
        <v>5</v>
      </c>
      <c r="F108" t="s">
        <v>2</v>
      </c>
      <c r="G108">
        <v>0.22091479999999999</v>
      </c>
      <c r="H108">
        <v>1.6</v>
      </c>
      <c r="I108">
        <v>2.717994</v>
      </c>
      <c r="J108">
        <v>9.1439369999999993</v>
      </c>
      <c r="K108">
        <v>132.23230000000001</v>
      </c>
      <c r="L108">
        <v>355.14109999999999</v>
      </c>
    </row>
    <row r="109" spans="1:12" x14ac:dyDescent="0.2">
      <c r="A109" s="1">
        <v>42972.463171296295</v>
      </c>
      <c r="B109">
        <v>273.77960000000002</v>
      </c>
      <c r="C109">
        <v>35</v>
      </c>
      <c r="D109" t="s">
        <v>36</v>
      </c>
      <c r="E109" t="s">
        <v>5</v>
      </c>
      <c r="F109" t="s">
        <v>2</v>
      </c>
      <c r="G109">
        <v>4.4386590000000004</v>
      </c>
      <c r="H109">
        <v>1.6</v>
      </c>
      <c r="I109">
        <v>3.502589</v>
      </c>
      <c r="J109">
        <v>14.37144</v>
      </c>
      <c r="K109">
        <v>347.30399999999997</v>
      </c>
      <c r="L109">
        <v>0.67524309999999998</v>
      </c>
    </row>
    <row r="110" spans="1:12" x14ac:dyDescent="0.2">
      <c r="A110" s="1">
        <v>42972.463194444441</v>
      </c>
      <c r="B110">
        <v>275.5874</v>
      </c>
      <c r="C110">
        <v>36</v>
      </c>
      <c r="D110" t="s">
        <v>34</v>
      </c>
      <c r="E110" t="s">
        <v>3</v>
      </c>
      <c r="F110" t="s">
        <v>4</v>
      </c>
      <c r="G110">
        <v>3.3730000000000002</v>
      </c>
      <c r="H110">
        <v>1.6</v>
      </c>
      <c r="I110">
        <v>1.8169999999999999</v>
      </c>
      <c r="J110">
        <v>17.598120000000002</v>
      </c>
      <c r="K110">
        <v>349.28660000000002</v>
      </c>
      <c r="L110">
        <v>359.26119999999997</v>
      </c>
    </row>
    <row r="111" spans="1:12" x14ac:dyDescent="0.2">
      <c r="A111" s="1">
        <v>42972.463229166664</v>
      </c>
      <c r="B111">
        <v>279.30340000000001</v>
      </c>
      <c r="C111">
        <v>36</v>
      </c>
      <c r="D111" t="s">
        <v>35</v>
      </c>
      <c r="E111" t="s">
        <v>3</v>
      </c>
      <c r="F111" t="s">
        <v>4</v>
      </c>
      <c r="G111">
        <v>3.281447</v>
      </c>
      <c r="H111">
        <v>1.6</v>
      </c>
      <c r="I111">
        <v>1.786605</v>
      </c>
      <c r="J111">
        <v>21.17379</v>
      </c>
      <c r="K111">
        <v>238.29</v>
      </c>
      <c r="L111">
        <v>7.9269189999999998</v>
      </c>
    </row>
    <row r="112" spans="1:12" x14ac:dyDescent="0.2">
      <c r="A112" s="1">
        <v>42972.463333333333</v>
      </c>
      <c r="B112">
        <v>287.63889999999998</v>
      </c>
      <c r="C112">
        <v>36</v>
      </c>
      <c r="D112" t="s">
        <v>36</v>
      </c>
      <c r="E112" t="s">
        <v>3</v>
      </c>
      <c r="F112" t="s">
        <v>4</v>
      </c>
      <c r="G112">
        <v>-1.752483</v>
      </c>
      <c r="H112">
        <v>1.6</v>
      </c>
      <c r="I112">
        <v>0.59688319999999995</v>
      </c>
      <c r="J112">
        <v>21.3294</v>
      </c>
      <c r="K112">
        <v>170.20580000000001</v>
      </c>
      <c r="L112">
        <v>352.48910000000001</v>
      </c>
    </row>
    <row r="113" spans="1:12" x14ac:dyDescent="0.2">
      <c r="A113" s="1">
        <v>42972.463379629633</v>
      </c>
      <c r="B113">
        <v>291.75639999999999</v>
      </c>
      <c r="C113">
        <v>37</v>
      </c>
      <c r="D113" t="s">
        <v>34</v>
      </c>
      <c r="E113" t="s">
        <v>6</v>
      </c>
      <c r="F113" t="s">
        <v>33</v>
      </c>
      <c r="G113">
        <v>-4.1100000000000003</v>
      </c>
      <c r="H113">
        <v>1.6</v>
      </c>
      <c r="I113">
        <v>0.09</v>
      </c>
      <c r="J113">
        <v>24.52927</v>
      </c>
      <c r="K113">
        <v>166.6978</v>
      </c>
      <c r="L113">
        <v>354.31849999999997</v>
      </c>
    </row>
    <row r="114" spans="1:12" x14ac:dyDescent="0.2">
      <c r="A114" s="1">
        <v>42972.463449074072</v>
      </c>
      <c r="B114">
        <v>298.35109999999997</v>
      </c>
      <c r="C114">
        <v>37</v>
      </c>
      <c r="D114" t="s">
        <v>35</v>
      </c>
      <c r="E114" t="s">
        <v>6</v>
      </c>
      <c r="F114" t="s">
        <v>33</v>
      </c>
      <c r="G114">
        <v>-3.820913</v>
      </c>
      <c r="H114">
        <v>1.6</v>
      </c>
      <c r="I114">
        <v>0.2010749</v>
      </c>
      <c r="J114">
        <v>23.931999999999999</v>
      </c>
      <c r="K114">
        <v>267.02850000000001</v>
      </c>
      <c r="L114">
        <v>353.95069999999998</v>
      </c>
    </row>
    <row r="115" spans="1:12" x14ac:dyDescent="0.2">
      <c r="A115" s="1">
        <v>42972.463541666664</v>
      </c>
      <c r="B115">
        <v>305.54809999999998</v>
      </c>
      <c r="C115">
        <v>37</v>
      </c>
      <c r="D115" t="s">
        <v>36</v>
      </c>
      <c r="E115" t="s">
        <v>6</v>
      </c>
      <c r="F115" t="s">
        <v>33</v>
      </c>
      <c r="G115">
        <v>-3.302076</v>
      </c>
      <c r="H115">
        <v>1.6</v>
      </c>
      <c r="I115">
        <v>5.1263769999999997</v>
      </c>
      <c r="J115">
        <v>16.725829999999998</v>
      </c>
      <c r="K115">
        <v>299.65660000000003</v>
      </c>
      <c r="L115">
        <v>3.089979</v>
      </c>
    </row>
    <row r="116" spans="1:12" x14ac:dyDescent="0.2">
      <c r="A116" s="1">
        <v>42972.463564814818</v>
      </c>
      <c r="B116">
        <v>307.55669999999998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1.6</v>
      </c>
      <c r="I116">
        <v>-4.3440000000000003</v>
      </c>
      <c r="J116">
        <v>11.59399</v>
      </c>
      <c r="K116">
        <v>305.3338</v>
      </c>
      <c r="L116">
        <v>2.3767659999999999</v>
      </c>
    </row>
    <row r="117" spans="1:12" x14ac:dyDescent="0.2">
      <c r="A117" s="1">
        <v>42972.46366898148</v>
      </c>
      <c r="B117">
        <v>316.91300000000001</v>
      </c>
      <c r="C117">
        <v>38</v>
      </c>
      <c r="D117" t="s">
        <v>35</v>
      </c>
      <c r="E117" t="s">
        <v>2</v>
      </c>
      <c r="F117" t="s">
        <v>0</v>
      </c>
      <c r="G117">
        <v>3.5210789999999998</v>
      </c>
      <c r="H117">
        <v>1.6</v>
      </c>
      <c r="I117">
        <v>-4.1801149999999998</v>
      </c>
      <c r="J117">
        <v>22.194369999999999</v>
      </c>
      <c r="K117">
        <v>200.3425</v>
      </c>
      <c r="L117">
        <v>5.4269369999999997</v>
      </c>
    </row>
    <row r="118" spans="1:12" x14ac:dyDescent="0.2">
      <c r="A118" s="1">
        <v>42972.463726851849</v>
      </c>
      <c r="B118">
        <v>321.8503</v>
      </c>
      <c r="C118">
        <v>38</v>
      </c>
      <c r="D118" t="s">
        <v>36</v>
      </c>
      <c r="E118" t="s">
        <v>2</v>
      </c>
      <c r="F118" t="s">
        <v>0</v>
      </c>
      <c r="G118">
        <v>-1.879699</v>
      </c>
      <c r="H118">
        <v>1.6</v>
      </c>
      <c r="I118">
        <v>-3.3658440000000001</v>
      </c>
      <c r="J118">
        <v>7.6022930000000004</v>
      </c>
      <c r="K118">
        <v>156.65860000000001</v>
      </c>
      <c r="L118">
        <v>358.03429999999997</v>
      </c>
    </row>
    <row r="119" spans="1:12" x14ac:dyDescent="0.2">
      <c r="A119" s="1">
        <v>42972.463807870372</v>
      </c>
      <c r="B119">
        <v>329.21480000000003</v>
      </c>
      <c r="C119">
        <v>39</v>
      </c>
      <c r="D119" t="s">
        <v>34</v>
      </c>
      <c r="E119" t="s">
        <v>1</v>
      </c>
      <c r="F119" t="s">
        <v>5</v>
      </c>
      <c r="G119">
        <v>-4.0789999999999997</v>
      </c>
      <c r="H119">
        <v>1.6</v>
      </c>
      <c r="I119">
        <v>4.1399999999999997</v>
      </c>
      <c r="J119">
        <v>23.589030000000001</v>
      </c>
      <c r="K119">
        <v>183.0205</v>
      </c>
      <c r="L119">
        <v>0.485045</v>
      </c>
    </row>
    <row r="120" spans="1:12" x14ac:dyDescent="0.2">
      <c r="A120" s="1">
        <v>42972.463831018518</v>
      </c>
      <c r="B120">
        <v>331.50790000000001</v>
      </c>
      <c r="C120">
        <v>39</v>
      </c>
      <c r="D120" t="s">
        <v>35</v>
      </c>
      <c r="E120" t="s">
        <v>1</v>
      </c>
      <c r="F120" t="s">
        <v>5</v>
      </c>
      <c r="G120">
        <v>-4.0875750000000002</v>
      </c>
      <c r="H120">
        <v>1.6</v>
      </c>
      <c r="I120">
        <v>4.1721690000000002</v>
      </c>
      <c r="J120">
        <v>14.158770000000001</v>
      </c>
      <c r="K120">
        <v>358.69749999999999</v>
      </c>
      <c r="L120">
        <v>4.3403689999999999</v>
      </c>
    </row>
    <row r="121" spans="1:12" x14ac:dyDescent="0.2">
      <c r="A121" s="1">
        <v>42972.463912037034</v>
      </c>
      <c r="B121">
        <v>338.37040000000002</v>
      </c>
      <c r="C121">
        <v>39</v>
      </c>
      <c r="D121" t="s">
        <v>36</v>
      </c>
      <c r="E121" t="s">
        <v>1</v>
      </c>
      <c r="F121" t="s">
        <v>5</v>
      </c>
      <c r="G121">
        <v>-5.3331609999999996</v>
      </c>
      <c r="H121">
        <v>1.6</v>
      </c>
      <c r="I121">
        <v>1.3101830000000001</v>
      </c>
      <c r="J121">
        <v>5.6233719999999998</v>
      </c>
      <c r="K121">
        <v>115.22920000000001</v>
      </c>
      <c r="L121">
        <v>358.47519999999997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(40)'!$C$2:$L$245,3,0)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(40)'!$C$2:$L$245,5,1)</f>
        <v>-0.76550980000000002</v>
      </c>
      <c r="G2" s="3">
        <f>VLOOKUP($A2,'Summary Data (40)'!$C$2:$L$245,6,1)</f>
        <v>1.6</v>
      </c>
      <c r="H2" s="3">
        <f>VLOOKUP($A2,'Summary Data (40)'!$C$2:$L$245,7,1)</f>
        <v>1.5863119999999999</v>
      </c>
      <c r="I2" s="3" t="str">
        <f>VLOOKUP($A2,'Summary Data (40)'!$C$2:$L$245,4,0)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5.7039377944749745</v>
      </c>
      <c r="N2" s="3">
        <f t="shared" ref="N2:N41" si="1">ABS(SQRT((F2-C2)^2+(H2-E2)^2))</f>
        <v>7.3143644006051582</v>
      </c>
      <c r="O2" s="3">
        <f t="shared" ref="O2:O41" si="2">ABS(SQRT((J2-C2)^2+(L2-E2)^2))</f>
        <v>4.3718971854333439</v>
      </c>
      <c r="P2" s="3">
        <f t="shared" ref="P2:P41" si="3">(N2-O2)</f>
        <v>2.9424672151718143</v>
      </c>
      <c r="Q2" s="5">
        <f t="shared" ref="Q2:Q41" si="4">P2/O2</f>
        <v>0.67304126569485101</v>
      </c>
      <c r="R2" s="3">
        <f t="shared" ref="R2:R41" si="5">ATAN2(J2-C2,L2-E2)*180/PI()</f>
        <v>177.02371934116897</v>
      </c>
      <c r="S2" s="3">
        <f t="shared" ref="S2:S41" si="6">ATAN2(F2-C2,H2-E2)*180/PI()</f>
        <v>125.82816996229666</v>
      </c>
      <c r="T2" s="3">
        <f t="shared" ref="T2:T41" si="7">IF(ABS(R2-S2)&gt;180,360-ABS(R2-S2),ABS(R2-S2))</f>
        <v>51.195549378872315</v>
      </c>
      <c r="U2" s="3">
        <f>VLOOKUP($A2,'Summary Data (40)'!$C$2:$N$245,11,0)</f>
        <v>0</v>
      </c>
      <c r="V2" s="3">
        <f>VLOOKUP($A2,'Summary Data (40)'!$C$2:$N$245,12,1)</f>
        <v>0</v>
      </c>
      <c r="W2" s="3">
        <f>VLOOKUP($A2,'Summary Data (40)'!$C$2:$N$245,11,1)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(40)'!$C$2:$L$245,3,0)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(40)'!$C$2:$L$245,5,1)</f>
        <v>6.0582760000000002</v>
      </c>
      <c r="G3" s="3">
        <f>VLOOKUP($A3,'Summary Data (40)'!$C$2:$L$245,6,1)</f>
        <v>1.6</v>
      </c>
      <c r="H3" s="3">
        <f>VLOOKUP($A3,'Summary Data (40)'!$C$2:$L$245,7,1)</f>
        <v>-9.2322120000000005</v>
      </c>
      <c r="I3" s="3" t="str">
        <f>VLOOKUP($A3,'Summary Data (40)'!$C$2:$L$245,4,0)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5.5097898160565073</v>
      </c>
      <c r="N3" s="3">
        <f t="shared" si="1"/>
        <v>13.396272042964789</v>
      </c>
      <c r="O3" s="3">
        <f t="shared" si="2"/>
        <v>7.8871175977032326</v>
      </c>
      <c r="P3" s="3">
        <f t="shared" si="3"/>
        <v>5.5091544452615562</v>
      </c>
      <c r="Q3" s="5">
        <f t="shared" si="4"/>
        <v>0.69850035542336142</v>
      </c>
      <c r="R3" s="3">
        <f t="shared" si="5"/>
        <v>-63.65586590726528</v>
      </c>
      <c r="S3" s="3">
        <f t="shared" si="6"/>
        <v>-63.189468302372617</v>
      </c>
      <c r="T3" s="3">
        <f t="shared" si="7"/>
        <v>0.4663976048926628</v>
      </c>
      <c r="U3" s="3">
        <f>VLOOKUP($A3,'Summary Data (40)'!$C$2:$N$245,11,0)</f>
        <v>0</v>
      </c>
      <c r="V3" s="3">
        <f>VLOOKUP($A3,'Summary Data (40)'!$C$2:$N$245,12,1)</f>
        <v>0</v>
      </c>
      <c r="W3" s="3">
        <f>VLOOKUP($A3,'Summary Data (40)'!$C$2:$N$245,11,1)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(40)'!$C$2:$L$245,3,0)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(40)'!$C$2:$L$245,5,1)</f>
        <v>0.96212410000000004</v>
      </c>
      <c r="G4" s="3">
        <f>VLOOKUP($A4,'Summary Data (40)'!$C$2:$L$245,6,1)</f>
        <v>1.6</v>
      </c>
      <c r="H4" s="3">
        <f>VLOOKUP($A4,'Summary Data (40)'!$C$2:$L$245,7,1)</f>
        <v>2.7434660000000002</v>
      </c>
      <c r="I4" s="3" t="str">
        <f>VLOOKUP($A4,'Summary Data (40)'!$C$2:$L$245,4,0)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2.5827624463656762</v>
      </c>
      <c r="N4" s="3">
        <f t="shared" si="1"/>
        <v>6.453878210282312</v>
      </c>
      <c r="O4" s="3">
        <f t="shared" si="2"/>
        <v>8.0292617967033557</v>
      </c>
      <c r="P4" s="3">
        <f t="shared" si="3"/>
        <v>-1.5753835864210437</v>
      </c>
      <c r="Q4" s="5">
        <f t="shared" si="4"/>
        <v>-0.19620528341321025</v>
      </c>
      <c r="R4" s="3">
        <f t="shared" si="5"/>
        <v>23.666151625811782</v>
      </c>
      <c r="S4" s="3">
        <f t="shared" si="6"/>
        <v>40.011509501101159</v>
      </c>
      <c r="T4" s="3">
        <f t="shared" si="7"/>
        <v>16.345357875289377</v>
      </c>
      <c r="U4" s="3">
        <f>VLOOKUP($A4,'Summary Data (40)'!$C$2:$N$245,11,0)</f>
        <v>0</v>
      </c>
      <c r="V4" s="3">
        <f>VLOOKUP($A4,'Summary Data (40)'!$C$2:$N$245,12,1)</f>
        <v>0</v>
      </c>
      <c r="W4" s="3">
        <f>VLOOKUP($A4,'Summary Data (40)'!$C$2:$N$245,11,1)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(40)'!$C$2:$L$245,3,0)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(40)'!$C$2:$L$245,5,1)</f>
        <v>-6.8900230000000002</v>
      </c>
      <c r="G5" s="3">
        <f>VLOOKUP($A5,'Summary Data (40)'!$C$2:$L$245,6,1)</f>
        <v>1.6</v>
      </c>
      <c r="H5" s="3">
        <f>VLOOKUP($A5,'Summary Data (40)'!$C$2:$L$245,7,1)</f>
        <v>-0.73718600000000001</v>
      </c>
      <c r="I5" s="3" t="str">
        <f>VLOOKUP($A5,'Summary Data (40)'!$C$2:$L$245,4,0)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5.6292800236908631</v>
      </c>
      <c r="N5" s="3">
        <f t="shared" si="1"/>
        <v>6.9213452821778088</v>
      </c>
      <c r="O5" s="3">
        <f t="shared" si="2"/>
        <v>8.8659173242253964</v>
      </c>
      <c r="P5" s="3">
        <f t="shared" si="3"/>
        <v>-1.9445720420475876</v>
      </c>
      <c r="Q5" s="5">
        <f t="shared" si="4"/>
        <v>-0.21933117250419232</v>
      </c>
      <c r="R5" s="3">
        <f t="shared" si="5"/>
        <v>111.35858600069317</v>
      </c>
      <c r="S5" s="3">
        <f t="shared" si="6"/>
        <v>150.76994463632334</v>
      </c>
      <c r="T5" s="3">
        <f t="shared" si="7"/>
        <v>39.411358635630179</v>
      </c>
      <c r="U5" s="3">
        <f>VLOOKUP($A5,'Summary Data (40)'!$C$2:$N$245,11,0)</f>
        <v>0</v>
      </c>
      <c r="V5" s="3">
        <f>VLOOKUP($A5,'Summary Data (40)'!$C$2:$N$245,12,1)</f>
        <v>0</v>
      </c>
      <c r="W5" s="3">
        <f>VLOOKUP($A5,'Summary Data (40)'!$C$2:$N$245,11,1)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(40)'!$C$2:$L$245,3,0)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(40)'!$C$2:$L$245,5,1)</f>
        <v>7.1439599999999999</v>
      </c>
      <c r="G6" s="3">
        <f>VLOOKUP($A6,'Summary Data (40)'!$C$2:$L$245,6,1)</f>
        <v>1.6</v>
      </c>
      <c r="H6" s="3">
        <f>VLOOKUP($A6,'Summary Data (40)'!$C$2:$L$245,7,1)</f>
        <v>-3.0421499999999999</v>
      </c>
      <c r="I6" s="3" t="str">
        <f>VLOOKUP($A6,'Summary Data (40)'!$C$2:$L$245,4,0)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4.0024604487864712</v>
      </c>
      <c r="N6" s="3">
        <f t="shared" si="1"/>
        <v>6.1507298789737135</v>
      </c>
      <c r="O6" s="3">
        <f t="shared" si="2"/>
        <v>2.5489458605470614</v>
      </c>
      <c r="P6" s="3">
        <f t="shared" si="3"/>
        <v>3.6017840184266521</v>
      </c>
      <c r="Q6" s="5">
        <f t="shared" si="4"/>
        <v>1.4130484582570255</v>
      </c>
      <c r="R6" s="3">
        <f t="shared" si="5"/>
        <v>-77.654050540796021</v>
      </c>
      <c r="S6" s="3">
        <f t="shared" si="6"/>
        <v>-52.186626649277727</v>
      </c>
      <c r="T6" s="3">
        <f t="shared" si="7"/>
        <v>25.467423891518294</v>
      </c>
      <c r="U6" s="3">
        <f>VLOOKUP($A6,'Summary Data (40)'!$C$2:$N$245,11,0)</f>
        <v>0</v>
      </c>
      <c r="V6" s="3">
        <f>VLOOKUP($A6,'Summary Data (40)'!$C$2:$N$245,12,1)</f>
        <v>0</v>
      </c>
      <c r="W6" s="3">
        <f>VLOOKUP($A6,'Summary Data (40)'!$C$2:$N$245,11,1)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(40)'!$C$2:$L$245,3,0)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(40)'!$C$2:$L$245,5,1)</f>
        <v>-0.79333209999999998</v>
      </c>
      <c r="G7" s="3">
        <f>VLOOKUP($A7,'Summary Data (40)'!$C$2:$L$245,6,1)</f>
        <v>1.6</v>
      </c>
      <c r="H7" s="3">
        <f>VLOOKUP($A7,'Summary Data (40)'!$C$2:$L$245,7,1)</f>
        <v>3.3931360000000002</v>
      </c>
      <c r="I7" s="3" t="str">
        <f>VLOOKUP($A7,'Summary Data (40)'!$C$2:$L$245,4,0)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7.5103497914136073</v>
      </c>
      <c r="N7" s="3">
        <f t="shared" si="1"/>
        <v>8.8562755507372515</v>
      </c>
      <c r="O7" s="3">
        <f t="shared" si="2"/>
        <v>4.3718971854333439</v>
      </c>
      <c r="P7" s="3">
        <f t="shared" si="3"/>
        <v>4.4843783653039075</v>
      </c>
      <c r="Q7" s="5">
        <f t="shared" si="4"/>
        <v>1.0257282308114055</v>
      </c>
      <c r="R7" s="3">
        <f t="shared" si="5"/>
        <v>177.02371934116897</v>
      </c>
      <c r="S7" s="3">
        <f t="shared" si="6"/>
        <v>119.11637892070638</v>
      </c>
      <c r="T7" s="3">
        <f t="shared" si="7"/>
        <v>57.907340420462589</v>
      </c>
      <c r="U7" s="3">
        <f>VLOOKUP($A7,'Summary Data (40)'!$C$2:$N$245,11,0)</f>
        <v>0</v>
      </c>
      <c r="V7" s="3">
        <f>VLOOKUP($A7,'Summary Data (40)'!$C$2:$N$245,12,1)</f>
        <v>0</v>
      </c>
      <c r="W7" s="3">
        <f>VLOOKUP($A7,'Summary Data (40)'!$C$2:$N$245,11,1)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(40)'!$C$2:$L$245,3,0)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(40)'!$C$2:$L$245,5,1)</f>
        <v>-0.12765499999999999</v>
      </c>
      <c r="G8" s="3">
        <f>VLOOKUP($A8,'Summary Data (40)'!$C$2:$L$245,6,1)</f>
        <v>1.6</v>
      </c>
      <c r="H8" s="3">
        <f>VLOOKUP($A8,'Summary Data (40)'!$C$2:$L$245,7,1)</f>
        <v>-7.1810850000000004</v>
      </c>
      <c r="I8" s="3" t="str">
        <f>VLOOKUP($A8,'Summary Data (40)'!$C$2:$L$245,4,0)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6.942612940835029</v>
      </c>
      <c r="N8" s="3">
        <f t="shared" si="1"/>
        <v>8.2902200680229239</v>
      </c>
      <c r="O8" s="3">
        <f t="shared" si="2"/>
        <v>1.5015515309172709</v>
      </c>
      <c r="P8" s="3">
        <f t="shared" si="3"/>
        <v>6.7886685371056528</v>
      </c>
      <c r="Q8" s="5">
        <f t="shared" si="4"/>
        <v>4.5211026044231577</v>
      </c>
      <c r="R8" s="3">
        <f t="shared" si="5"/>
        <v>-85.071579131103505</v>
      </c>
      <c r="S8" s="3">
        <f t="shared" si="6"/>
        <v>-61.290650666204755</v>
      </c>
      <c r="T8" s="3">
        <f t="shared" si="7"/>
        <v>23.78092846489875</v>
      </c>
      <c r="U8" s="3">
        <f>VLOOKUP($A8,'Summary Data (40)'!$C$2:$N$245,11,0)</f>
        <v>0</v>
      </c>
      <c r="V8" s="3">
        <f>VLOOKUP($A8,'Summary Data (40)'!$C$2:$N$245,12,1)</f>
        <v>0</v>
      </c>
      <c r="W8" s="3">
        <f>VLOOKUP($A8,'Summary Data (40)'!$C$2:$N$245,11,1)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(40)'!$C$2:$L$245,3,0)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(40)'!$C$2:$L$245,5,1)</f>
        <v>-6.4389779999999996</v>
      </c>
      <c r="G9" s="3">
        <f>VLOOKUP($A9,'Summary Data (40)'!$C$2:$L$245,6,1)</f>
        <v>1.6</v>
      </c>
      <c r="H9" s="3">
        <f>VLOOKUP($A9,'Summary Data (40)'!$C$2:$L$245,7,1)</f>
        <v>1.24847</v>
      </c>
      <c r="I9" s="3" t="str">
        <f>VLOOKUP($A9,'Summary Data (40)'!$C$2:$L$245,4,0)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3.7323507205759747</v>
      </c>
      <c r="N9" s="3">
        <f t="shared" si="1"/>
        <v>7.7475766150057526</v>
      </c>
      <c r="O9" s="3">
        <f t="shared" si="2"/>
        <v>8.8659173242253964</v>
      </c>
      <c r="P9" s="3">
        <f t="shared" si="3"/>
        <v>-1.1183407092196438</v>
      </c>
      <c r="Q9" s="5">
        <f t="shared" si="4"/>
        <v>-0.12613931173978682</v>
      </c>
      <c r="R9" s="3">
        <f t="shared" si="5"/>
        <v>111.35858600069317</v>
      </c>
      <c r="S9" s="3">
        <f t="shared" si="6"/>
        <v>136.16886660846336</v>
      </c>
      <c r="T9" s="3">
        <f t="shared" si="7"/>
        <v>24.810280607770196</v>
      </c>
      <c r="U9" s="3">
        <f>VLOOKUP($A9,'Summary Data (40)'!$C$2:$N$245,11,0)</f>
        <v>0</v>
      </c>
      <c r="V9" s="3">
        <f>VLOOKUP($A9,'Summary Data (40)'!$C$2:$N$245,12,1)</f>
        <v>0</v>
      </c>
      <c r="W9" s="3">
        <f>VLOOKUP($A9,'Summary Data (40)'!$C$2:$N$245,11,1)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(40)'!$C$2:$L$245,3,0)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(40)'!$C$2:$L$245,5,1)</f>
        <v>9.2448440000000005</v>
      </c>
      <c r="G10" s="3">
        <f>VLOOKUP($A10,'Summary Data (40)'!$C$2:$L$245,6,1)</f>
        <v>1.6</v>
      </c>
      <c r="H10" s="3">
        <f>VLOOKUP($A10,'Summary Data (40)'!$C$2:$L$245,7,1)</f>
        <v>-6.1708420000000004</v>
      </c>
      <c r="I10" s="3" t="str">
        <f>VLOOKUP($A10,'Summary Data (40)'!$C$2:$L$245,4,0)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6.0130695380396197</v>
      </c>
      <c r="N10" s="3">
        <f t="shared" si="1"/>
        <v>12.81755732506393</v>
      </c>
      <c r="O10" s="3">
        <f t="shared" si="2"/>
        <v>7.8871175977032326</v>
      </c>
      <c r="P10" s="3">
        <f t="shared" si="3"/>
        <v>4.9304397273606977</v>
      </c>
      <c r="Q10" s="5">
        <f t="shared" si="4"/>
        <v>0.62512567693886878</v>
      </c>
      <c r="R10" s="3">
        <f t="shared" si="5"/>
        <v>-63.65586590726528</v>
      </c>
      <c r="S10" s="3">
        <f t="shared" si="6"/>
        <v>-43.944213726384021</v>
      </c>
      <c r="T10" s="3">
        <f t="shared" si="7"/>
        <v>19.711652180881259</v>
      </c>
      <c r="U10" s="3">
        <f>VLOOKUP($A10,'Summary Data (40)'!$C$2:$N$245,11,0)</f>
        <v>0</v>
      </c>
      <c r="V10" s="3">
        <f>VLOOKUP($A10,'Summary Data (40)'!$C$2:$N$245,12,1)</f>
        <v>0</v>
      </c>
      <c r="W10" s="3">
        <f>VLOOKUP($A10,'Summary Data (40)'!$C$2:$N$245,11,1)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(40)'!$C$2:$L$245,3,0)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(40)'!$C$2:$L$245,5,1)</f>
        <v>0.53914830000000002</v>
      </c>
      <c r="G11" s="3">
        <f>VLOOKUP($A11,'Summary Data (40)'!$C$2:$L$245,6,1)</f>
        <v>1.6</v>
      </c>
      <c r="H11" s="3">
        <f>VLOOKUP($A11,'Summary Data (40)'!$C$2:$L$245,7,1)</f>
        <v>-3.4944199999999999</v>
      </c>
      <c r="I11" s="3" t="str">
        <f>VLOOKUP($A11,'Summary Data (40)'!$C$2:$L$245,4,0)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4.9792809471240815</v>
      </c>
      <c r="N11" s="3">
        <f t="shared" si="1"/>
        <v>5.8704894729309318</v>
      </c>
      <c r="O11" s="3">
        <f t="shared" si="2"/>
        <v>1.5015515309172709</v>
      </c>
      <c r="P11" s="3">
        <f t="shared" si="3"/>
        <v>4.3689379420136607</v>
      </c>
      <c r="Q11" s="5">
        <f t="shared" si="4"/>
        <v>2.9096157221755519</v>
      </c>
      <c r="R11" s="3">
        <f t="shared" si="5"/>
        <v>-85.071579131103505</v>
      </c>
      <c r="S11" s="3">
        <f t="shared" si="6"/>
        <v>-37.631656373597004</v>
      </c>
      <c r="T11" s="3">
        <f t="shared" si="7"/>
        <v>47.439922757506501</v>
      </c>
      <c r="U11" s="3">
        <f>VLOOKUP($A11,'Summary Data (40)'!$C$2:$N$245,11,0)</f>
        <v>0</v>
      </c>
      <c r="V11" s="3">
        <f>VLOOKUP($A11,'Summary Data (40)'!$C$2:$N$245,12,1)</f>
        <v>0</v>
      </c>
      <c r="W11" s="3">
        <f>VLOOKUP($A11,'Summary Data (40)'!$C$2:$N$245,11,1)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(40)'!$C$2:$L$245,3,0)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(40)'!$C$2:$L$245,5,1)</f>
        <v>2.4879090000000001</v>
      </c>
      <c r="G12" s="3">
        <f>VLOOKUP($A12,'Summary Data (40)'!$C$2:$L$245,6,1)</f>
        <v>1.6</v>
      </c>
      <c r="H12" s="3">
        <f>VLOOKUP($A12,'Summary Data (40)'!$C$2:$L$245,7,1)</f>
        <v>2.2302879999999998</v>
      </c>
      <c r="I12" s="3" t="str">
        <f>VLOOKUP($A12,'Summary Data (40)'!$C$2:$L$245,4,0)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2.5207311723436518</v>
      </c>
      <c r="N12" s="3">
        <f t="shared" si="1"/>
        <v>6.8389541405996424</v>
      </c>
      <c r="O12" s="3">
        <f t="shared" si="2"/>
        <v>4.3329067610554466</v>
      </c>
      <c r="P12" s="3">
        <f t="shared" si="3"/>
        <v>2.5060473795441958</v>
      </c>
      <c r="Q12" s="5">
        <f t="shared" si="4"/>
        <v>0.57837556119803313</v>
      </c>
      <c r="R12" s="3">
        <f t="shared" si="5"/>
        <v>-19.074748100261683</v>
      </c>
      <c r="S12" s="3">
        <f t="shared" si="6"/>
        <v>-16.214872119597683</v>
      </c>
      <c r="T12" s="3">
        <f t="shared" si="7"/>
        <v>2.8598759806640004</v>
      </c>
      <c r="U12" s="3">
        <f>VLOOKUP($A12,'Summary Data (40)'!$C$2:$N$245,11,0)</f>
        <v>0</v>
      </c>
      <c r="V12" s="3">
        <f>VLOOKUP($A12,'Summary Data (40)'!$C$2:$N$245,12,1)</f>
        <v>0</v>
      </c>
      <c r="W12" s="3">
        <f>VLOOKUP($A12,'Summary Data (40)'!$C$2:$N$245,11,1)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(40)'!$C$2:$L$245,3,0)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(40)'!$C$2:$L$245,5,1)</f>
        <v>-6.4806540000000004</v>
      </c>
      <c r="G13" s="3">
        <f>VLOOKUP($A13,'Summary Data (40)'!$C$2:$L$245,6,1)</f>
        <v>1.6</v>
      </c>
      <c r="H13" s="3">
        <f>VLOOKUP($A13,'Summary Data (40)'!$C$2:$L$245,7,1)</f>
        <v>1.287161</v>
      </c>
      <c r="I13" s="3" t="str">
        <f>VLOOKUP($A13,'Summary Data (40)'!$C$2:$L$245,4,0)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7.8044359553805691</v>
      </c>
      <c r="N13" s="3">
        <f t="shared" si="1"/>
        <v>11.47358119349129</v>
      </c>
      <c r="O13" s="3">
        <f t="shared" si="2"/>
        <v>4.3718971854333439</v>
      </c>
      <c r="P13" s="3">
        <f t="shared" si="3"/>
        <v>7.101684008057946</v>
      </c>
      <c r="Q13" s="5">
        <f t="shared" si="4"/>
        <v>1.6243941032556612</v>
      </c>
      <c r="R13" s="3">
        <f t="shared" si="5"/>
        <v>177.02371934116897</v>
      </c>
      <c r="S13" s="3">
        <f t="shared" si="6"/>
        <v>150.6072395682836</v>
      </c>
      <c r="T13" s="3">
        <f t="shared" si="7"/>
        <v>26.416479772885367</v>
      </c>
      <c r="U13" s="3">
        <f>VLOOKUP($A13,'Summary Data (40)'!$C$2:$N$245,11,0)</f>
        <v>0</v>
      </c>
      <c r="V13" s="3">
        <f>VLOOKUP($A13,'Summary Data (40)'!$C$2:$N$245,12,1)</f>
        <v>0</v>
      </c>
      <c r="W13" s="3">
        <f>VLOOKUP($A13,'Summary Data (40)'!$C$2:$N$245,11,1)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(40)'!$C$2:$L$245,3,0)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(40)'!$C$2:$L$245,5,1)</f>
        <v>-1.9107559999999999</v>
      </c>
      <c r="G14" s="3">
        <f>VLOOKUP($A14,'Summary Data (40)'!$C$2:$L$245,6,1)</f>
        <v>1.6</v>
      </c>
      <c r="H14" s="3">
        <f>VLOOKUP($A14,'Summary Data (40)'!$C$2:$L$245,7,1)</f>
        <v>6.7355159999999996</v>
      </c>
      <c r="I14" s="3" t="str">
        <f>VLOOKUP($A14,'Summary Data (40)'!$C$2:$L$245,4,0)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7.2187171373999686</v>
      </c>
      <c r="N14" s="3">
        <f t="shared" si="1"/>
        <v>8.400606704148931</v>
      </c>
      <c r="O14" s="3">
        <f t="shared" si="2"/>
        <v>8.0292617967033557</v>
      </c>
      <c r="P14" s="3">
        <f t="shared" si="3"/>
        <v>0.37134490744557525</v>
      </c>
      <c r="Q14" s="5">
        <f t="shared" si="4"/>
        <v>4.6248947518194208E-2</v>
      </c>
      <c r="R14" s="3">
        <f t="shared" si="5"/>
        <v>23.666151625811782</v>
      </c>
      <c r="S14" s="3">
        <f t="shared" si="6"/>
        <v>75.733061440932076</v>
      </c>
      <c r="T14" s="3">
        <f t="shared" si="7"/>
        <v>52.066909815120297</v>
      </c>
      <c r="U14" s="3">
        <f>VLOOKUP($A14,'Summary Data (40)'!$C$2:$N$245,11,0)</f>
        <v>0</v>
      </c>
      <c r="V14" s="3">
        <f>VLOOKUP($A14,'Summary Data (40)'!$C$2:$N$245,12,1)</f>
        <v>0</v>
      </c>
      <c r="W14" s="3">
        <f>VLOOKUP($A14,'Summary Data (40)'!$C$2:$N$245,11,1)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(40)'!$C$2:$L$245,3,0)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(40)'!$C$2:$L$245,5,1)</f>
        <v>-12.1311</v>
      </c>
      <c r="G15" s="3">
        <f>VLOOKUP($A15,'Summary Data (40)'!$C$2:$L$245,6,1)</f>
        <v>1.6</v>
      </c>
      <c r="H15" s="3">
        <f>VLOOKUP($A15,'Summary Data (40)'!$C$2:$L$245,7,1)</f>
        <v>-6.4050859999999998</v>
      </c>
      <c r="I15" s="3" t="str">
        <f>VLOOKUP($A15,'Summary Data (40)'!$C$2:$L$245,4,0)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9.561118702609857</v>
      </c>
      <c r="N15" s="3">
        <f t="shared" si="1"/>
        <v>10.321055535040784</v>
      </c>
      <c r="O15" s="3">
        <f t="shared" si="2"/>
        <v>1.5015515309172709</v>
      </c>
      <c r="P15" s="3">
        <f t="shared" si="3"/>
        <v>8.8195040041235142</v>
      </c>
      <c r="Q15" s="5">
        <f t="shared" si="4"/>
        <v>5.8735939609983534</v>
      </c>
      <c r="R15" s="3">
        <f t="shared" si="5"/>
        <v>-85.071579131103505</v>
      </c>
      <c r="S15" s="3">
        <f t="shared" si="6"/>
        <v>-141.00117652197193</v>
      </c>
      <c r="T15" s="3">
        <f t="shared" si="7"/>
        <v>55.929597390868423</v>
      </c>
      <c r="U15" s="3">
        <f>VLOOKUP($A15,'Summary Data (40)'!$C$2:$N$245,11,0)</f>
        <v>0</v>
      </c>
      <c r="V15" s="3">
        <f>VLOOKUP($A15,'Summary Data (40)'!$C$2:$N$245,12,1)</f>
        <v>0</v>
      </c>
      <c r="W15" s="3">
        <f>VLOOKUP($A15,'Summary Data (40)'!$C$2:$N$245,11,1)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(40)'!$C$2:$L$245,3,0)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(40)'!$C$2:$L$245,5,1)</f>
        <v>-1.0141180000000001</v>
      </c>
      <c r="G16" s="3">
        <f>VLOOKUP($A16,'Summary Data (40)'!$C$2:$L$245,6,1)</f>
        <v>1.6</v>
      </c>
      <c r="H16" s="3">
        <f>VLOOKUP($A16,'Summary Data (40)'!$C$2:$L$245,7,1)</f>
        <v>-3.0229650000000001</v>
      </c>
      <c r="I16" s="3" t="str">
        <f>VLOOKUP($A16,'Summary Data (40)'!$C$2:$L$245,4,0)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5.8385571680980402</v>
      </c>
      <c r="N16" s="3">
        <f t="shared" si="1"/>
        <v>7.7911211815212447</v>
      </c>
      <c r="O16" s="3">
        <f t="shared" si="2"/>
        <v>4.3329067610554466</v>
      </c>
      <c r="P16" s="3">
        <f t="shared" si="3"/>
        <v>3.4582144204657981</v>
      </c>
      <c r="Q16" s="5">
        <f t="shared" si="4"/>
        <v>0.79812804917671865</v>
      </c>
      <c r="R16" s="3">
        <f t="shared" si="5"/>
        <v>-19.074748100261683</v>
      </c>
      <c r="S16" s="3">
        <f t="shared" si="6"/>
        <v>-66.834936967415075</v>
      </c>
      <c r="T16" s="3">
        <f t="shared" si="7"/>
        <v>47.760188867153389</v>
      </c>
      <c r="U16" s="3">
        <f>VLOOKUP($A16,'Summary Data (40)'!$C$2:$N$245,11,0)</f>
        <v>0</v>
      </c>
      <c r="V16" s="3">
        <f>VLOOKUP($A16,'Summary Data (40)'!$C$2:$N$245,12,1)</f>
        <v>0</v>
      </c>
      <c r="W16" s="3">
        <f>VLOOKUP($A16,'Summary Data (40)'!$C$2:$N$245,11,1)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(40)'!$C$2:$L$245,3,0)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(40)'!$C$2:$L$245,5,1)</f>
        <v>-4.042872</v>
      </c>
      <c r="G17" s="3">
        <f>VLOOKUP($A17,'Summary Data (40)'!$C$2:$L$245,6,1)</f>
        <v>1.6</v>
      </c>
      <c r="H17" s="3">
        <f>VLOOKUP($A17,'Summary Data (40)'!$C$2:$L$245,7,1)</f>
        <v>0.51272030000000002</v>
      </c>
      <c r="I17" s="3" t="str">
        <f>VLOOKUP($A17,'Summary Data (40)'!$C$2:$L$245,4,0)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0.42801707958455359</v>
      </c>
      <c r="N17" s="3">
        <f t="shared" si="1"/>
        <v>8.048690305274274</v>
      </c>
      <c r="O17" s="3">
        <f t="shared" si="2"/>
        <v>8.0641771433916301</v>
      </c>
      <c r="P17" s="3">
        <f t="shared" si="3"/>
        <v>-1.5486838117356072E-2</v>
      </c>
      <c r="Q17" s="5">
        <f t="shared" si="4"/>
        <v>-1.920448651112173E-3</v>
      </c>
      <c r="R17" s="3">
        <f t="shared" si="5"/>
        <v>174.57078263739461</v>
      </c>
      <c r="S17" s="3">
        <f t="shared" si="6"/>
        <v>171.52844337958652</v>
      </c>
      <c r="T17" s="3">
        <f t="shared" si="7"/>
        <v>3.042339257808095</v>
      </c>
      <c r="U17" s="3">
        <f>VLOOKUP($A17,'Summary Data (40)'!$C$2:$N$245,11,0)</f>
        <v>0</v>
      </c>
      <c r="V17" s="3">
        <f>VLOOKUP($A17,'Summary Data (40)'!$C$2:$N$245,12,1)</f>
        <v>0</v>
      </c>
      <c r="W17" s="3">
        <f>VLOOKUP($A17,'Summary Data (40)'!$C$2:$N$245,11,1)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(40)'!$C$2:$L$245,3,0)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(40)'!$C$2:$L$245,5,1)</f>
        <v>9.8019409999999993</v>
      </c>
      <c r="G18" s="3">
        <f>VLOOKUP($A18,'Summary Data (40)'!$C$2:$L$245,6,1)</f>
        <v>1.6</v>
      </c>
      <c r="H18" s="3">
        <f>VLOOKUP($A18,'Summary Data (40)'!$C$2:$L$245,7,1)</f>
        <v>0.9956661</v>
      </c>
      <c r="I18" s="3" t="str">
        <f>VLOOKUP($A18,'Summary Data (40)'!$C$2:$L$245,4,0)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6.1159797452877651</v>
      </c>
      <c r="N18" s="3">
        <f t="shared" si="1"/>
        <v>6.4811936984455416</v>
      </c>
      <c r="O18" s="3">
        <f t="shared" si="2"/>
        <v>2.5489458605470614</v>
      </c>
      <c r="P18" s="3">
        <f t="shared" si="3"/>
        <v>3.9322478378984802</v>
      </c>
      <c r="Q18" s="5">
        <f t="shared" si="4"/>
        <v>1.5426957075716512</v>
      </c>
      <c r="R18" s="3">
        <f t="shared" si="5"/>
        <v>-77.654050540796021</v>
      </c>
      <c r="S18" s="3">
        <f t="shared" si="6"/>
        <v>-7.2804245328730302</v>
      </c>
      <c r="T18" s="3">
        <f t="shared" si="7"/>
        <v>70.373626007922994</v>
      </c>
      <c r="U18" s="3">
        <f>VLOOKUP($A18,'Summary Data (40)'!$C$2:$N$245,11,0)</f>
        <v>0</v>
      </c>
      <c r="V18" s="3">
        <f>VLOOKUP($A18,'Summary Data (40)'!$C$2:$N$245,12,1)</f>
        <v>0</v>
      </c>
      <c r="W18" s="3">
        <f>VLOOKUP($A18,'Summary Data (40)'!$C$2:$N$245,11,1)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(40)'!$C$2:$L$245,3,0)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(40)'!$C$2:$L$245,5,1)</f>
        <v>-3.5500319999999999</v>
      </c>
      <c r="G19" s="3">
        <f>VLOOKUP($A19,'Summary Data (40)'!$C$2:$L$245,6,1)</f>
        <v>1.6</v>
      </c>
      <c r="H19" s="3">
        <f>VLOOKUP($A19,'Summary Data (40)'!$C$2:$L$245,7,1)</f>
        <v>-6.2447160000000004</v>
      </c>
      <c r="I19" s="3" t="str">
        <f>VLOOKUP($A19,'Summary Data (40)'!$C$2:$L$245,4,0)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10.626365179951232</v>
      </c>
      <c r="N19" s="3">
        <f t="shared" si="1"/>
        <v>4.8578705155325013</v>
      </c>
      <c r="O19" s="3">
        <f t="shared" si="2"/>
        <v>8.0292617967033557</v>
      </c>
      <c r="P19" s="3">
        <f t="shared" si="3"/>
        <v>-3.1713912811708544</v>
      </c>
      <c r="Q19" s="5">
        <f t="shared" si="4"/>
        <v>-0.39497918506941204</v>
      </c>
      <c r="R19" s="3">
        <f t="shared" si="5"/>
        <v>23.666151625811782</v>
      </c>
      <c r="S19" s="3">
        <f t="shared" si="6"/>
        <v>-84.910289816474503</v>
      </c>
      <c r="T19" s="3">
        <f t="shared" si="7"/>
        <v>108.57644144228628</v>
      </c>
      <c r="U19" s="3">
        <f>VLOOKUP($A19,'Summary Data (40)'!$C$2:$N$245,11,0)</f>
        <v>0</v>
      </c>
      <c r="V19" s="3">
        <f>VLOOKUP($A19,'Summary Data (40)'!$C$2:$N$245,12,1)</f>
        <v>0</v>
      </c>
      <c r="W19" s="3">
        <f>VLOOKUP($A19,'Summary Data (40)'!$C$2:$N$245,11,1)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(40)'!$C$2:$L$245,3,0)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(40)'!$C$2:$L$245,5,1)</f>
        <v>4.1925230000000004</v>
      </c>
      <c r="G20" s="3">
        <f>VLOOKUP($A20,'Summary Data (40)'!$C$2:$L$245,6,1)</f>
        <v>1.6</v>
      </c>
      <c r="H20" s="3">
        <f>VLOOKUP($A20,'Summary Data (40)'!$C$2:$L$245,7,1)</f>
        <v>4.2329309999999998</v>
      </c>
      <c r="I20" s="3" t="str">
        <f>VLOOKUP($A20,'Summary Data (40)'!$C$2:$L$245,4,0)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8.6035706975819046</v>
      </c>
      <c r="N20" s="3">
        <f t="shared" si="1"/>
        <v>4.4407451100339008</v>
      </c>
      <c r="O20" s="3">
        <f t="shared" si="2"/>
        <v>7.8871175977032326</v>
      </c>
      <c r="P20" s="3">
        <f t="shared" si="3"/>
        <v>-3.4463724876693318</v>
      </c>
      <c r="Q20" s="5">
        <f t="shared" si="4"/>
        <v>-0.43696222922718087</v>
      </c>
      <c r="R20" s="3">
        <f t="shared" si="5"/>
        <v>-63.65586590726528</v>
      </c>
      <c r="S20" s="3">
        <f t="shared" si="6"/>
        <v>19.864220446534592</v>
      </c>
      <c r="T20" s="3">
        <f t="shared" si="7"/>
        <v>83.520086353799869</v>
      </c>
      <c r="U20" s="3">
        <f>VLOOKUP($A20,'Summary Data (40)'!$C$2:$N$245,11,0)</f>
        <v>0</v>
      </c>
      <c r="V20" s="3">
        <f>VLOOKUP($A20,'Summary Data (40)'!$C$2:$N$245,12,1)</f>
        <v>0</v>
      </c>
      <c r="W20" s="3">
        <f>VLOOKUP($A20,'Summary Data (40)'!$C$2:$N$245,11,1)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(40)'!$C$2:$L$245,3,0)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(40)'!$C$2:$L$245,5,1)</f>
        <v>10.751569999999999</v>
      </c>
      <c r="G21" s="3">
        <f>VLOOKUP($A21,'Summary Data (40)'!$C$2:$L$245,6,1)</f>
        <v>1.6</v>
      </c>
      <c r="H21" s="3">
        <f>VLOOKUP($A21,'Summary Data (40)'!$C$2:$L$245,7,1)</f>
        <v>0.63046089999999999</v>
      </c>
      <c r="I21" s="3" t="str">
        <f>VLOOKUP($A21,'Summary Data (40)'!$C$2:$L$245,4,0)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6.956772905789637</v>
      </c>
      <c r="N21" s="3">
        <f t="shared" si="1"/>
        <v>7.4733640538066117</v>
      </c>
      <c r="O21" s="3">
        <f t="shared" si="2"/>
        <v>2.5489458605470614</v>
      </c>
      <c r="P21" s="3">
        <f t="shared" si="3"/>
        <v>4.9244181932595499</v>
      </c>
      <c r="Q21" s="5">
        <f t="shared" si="4"/>
        <v>1.9319430316196118</v>
      </c>
      <c r="R21" s="3">
        <f t="shared" si="5"/>
        <v>-77.654050540796021</v>
      </c>
      <c r="S21" s="3">
        <f t="shared" si="6"/>
        <v>-9.1354561763126814</v>
      </c>
      <c r="T21" s="3">
        <f t="shared" si="7"/>
        <v>68.518594364483334</v>
      </c>
      <c r="U21" s="3">
        <f>VLOOKUP($A21,'Summary Data (40)'!$C$2:$N$245,11,0)</f>
        <v>0</v>
      </c>
      <c r="V21" s="3">
        <f>VLOOKUP($A21,'Summary Data (40)'!$C$2:$N$245,12,1)</f>
        <v>0</v>
      </c>
      <c r="W21" s="3">
        <f>VLOOKUP($A21,'Summary Data (40)'!$C$2:$N$245,11,1)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(40)'!$C$2:$L$245,3,0)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(40)'!$C$2:$L$245,5,1)</f>
        <v>-0.56070330000000002</v>
      </c>
      <c r="G22" s="3">
        <f>VLOOKUP($A22,'Summary Data (40)'!$C$2:$L$245,6,1)</f>
        <v>1.6</v>
      </c>
      <c r="H22" s="3">
        <f>VLOOKUP($A22,'Summary Data (40)'!$C$2:$L$245,7,1)</f>
        <v>-10.007199999999999</v>
      </c>
      <c r="I22" s="3" t="str">
        <f>VLOOKUP($A22,'Summary Data (40)'!$C$2:$L$245,4,0)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9.2562989880421895</v>
      </c>
      <c r="N22" s="3">
        <f t="shared" si="1"/>
        <v>10.702847981010983</v>
      </c>
      <c r="O22" s="3">
        <f t="shared" si="2"/>
        <v>1.5015515309172709</v>
      </c>
      <c r="P22" s="3">
        <f t="shared" si="3"/>
        <v>9.2012964500937127</v>
      </c>
      <c r="Q22" s="5">
        <f t="shared" si="4"/>
        <v>6.1278592579988285</v>
      </c>
      <c r="R22" s="3">
        <f t="shared" si="5"/>
        <v>-85.071579131103505</v>
      </c>
      <c r="S22" s="3">
        <f t="shared" si="6"/>
        <v>-70.632764004539496</v>
      </c>
      <c r="T22" s="3">
        <f t="shared" si="7"/>
        <v>14.438815126564009</v>
      </c>
      <c r="U22" s="3">
        <f>VLOOKUP($A22,'Summary Data (40)'!$C$2:$N$245,11,0)</f>
        <v>0</v>
      </c>
      <c r="V22" s="3">
        <f>VLOOKUP($A22,'Summary Data (40)'!$C$2:$N$245,12,1)</f>
        <v>0</v>
      </c>
      <c r="W22" s="3">
        <f>VLOOKUP($A22,'Summary Data (40)'!$C$2:$N$245,11,1)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(40)'!$C$2:$L$245,3,0)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(40)'!$C$2:$L$245,5,1)</f>
        <v>-10.11331</v>
      </c>
      <c r="G23" s="3">
        <f>VLOOKUP($A23,'Summary Data (40)'!$C$2:$L$245,6,1)</f>
        <v>1.6</v>
      </c>
      <c r="H23" s="3">
        <f>VLOOKUP($A23,'Summary Data (40)'!$C$2:$L$245,7,1)</f>
        <v>4.5385790000000004</v>
      </c>
      <c r="I23" s="3" t="str">
        <f>VLOOKUP($A23,'Summary Data (40)'!$C$2:$L$245,4,0)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12.67785312982214</v>
      </c>
      <c r="N23" s="3">
        <f t="shared" si="1"/>
        <v>16.26832200220235</v>
      </c>
      <c r="O23" s="3">
        <f t="shared" si="2"/>
        <v>4.3718971854333439</v>
      </c>
      <c r="P23" s="3">
        <f t="shared" si="3"/>
        <v>11.896424816769006</v>
      </c>
      <c r="Q23" s="5">
        <f t="shared" si="4"/>
        <v>2.7211126685244378</v>
      </c>
      <c r="R23" s="3">
        <f t="shared" si="5"/>
        <v>177.02371934116897</v>
      </c>
      <c r="S23" s="3">
        <f t="shared" si="6"/>
        <v>146.90665727334576</v>
      </c>
      <c r="T23" s="3">
        <f t="shared" si="7"/>
        <v>30.117062067823213</v>
      </c>
      <c r="U23" s="3">
        <f>VLOOKUP($A23,'Summary Data (40)'!$C$2:$N$245,11,0)</f>
        <v>0</v>
      </c>
      <c r="V23" s="3">
        <f>VLOOKUP($A23,'Summary Data (40)'!$C$2:$N$245,12,1)</f>
        <v>0</v>
      </c>
      <c r="W23" s="3">
        <f>VLOOKUP($A23,'Summary Data (40)'!$C$2:$N$245,11,1)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(40)'!$C$2:$L$245,3,0)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(40)'!$C$2:$L$245,5,1)</f>
        <v>-2.1507290000000001</v>
      </c>
      <c r="G24" s="3">
        <f>VLOOKUP($A24,'Summary Data (40)'!$C$2:$L$245,6,1)</f>
        <v>1.6</v>
      </c>
      <c r="H24" s="3">
        <f>VLOOKUP($A24,'Summary Data (40)'!$C$2:$L$245,7,1)</f>
        <v>-3.8654570000000001</v>
      </c>
      <c r="I24" s="3" t="str">
        <f>VLOOKUP($A24,'Summary Data (40)'!$C$2:$L$245,4,0)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8.2344138120627619</v>
      </c>
      <c r="N24" s="3">
        <f t="shared" si="1"/>
        <v>1.324828219917586</v>
      </c>
      <c r="O24" s="3">
        <f t="shared" si="2"/>
        <v>8.8659173242253964</v>
      </c>
      <c r="P24" s="3">
        <f t="shared" si="3"/>
        <v>-7.5410891043078099</v>
      </c>
      <c r="Q24" s="5">
        <f t="shared" si="4"/>
        <v>-0.85057065484948735</v>
      </c>
      <c r="R24" s="3">
        <f t="shared" si="5"/>
        <v>111.35858600069317</v>
      </c>
      <c r="S24" s="3">
        <f t="shared" si="6"/>
        <v>169.05489635860681</v>
      </c>
      <c r="T24" s="3">
        <f t="shared" si="7"/>
        <v>57.696310357913646</v>
      </c>
      <c r="U24" s="3">
        <f>VLOOKUP($A24,'Summary Data (40)'!$C$2:$N$245,11,0)</f>
        <v>0</v>
      </c>
      <c r="V24" s="3">
        <f>VLOOKUP($A24,'Summary Data (40)'!$C$2:$N$245,12,1)</f>
        <v>0</v>
      </c>
      <c r="W24" s="3">
        <f>VLOOKUP($A24,'Summary Data (40)'!$C$2:$N$245,11,1)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(40)'!$C$2:$L$245,3,0)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(40)'!$C$2:$L$245,5,1)</f>
        <v>-1.7902309999999999</v>
      </c>
      <c r="G25" s="3">
        <f>VLOOKUP($A25,'Summary Data (40)'!$C$2:$L$245,6,1)</f>
        <v>1.6</v>
      </c>
      <c r="H25" s="3">
        <f>VLOOKUP($A25,'Summary Data (40)'!$C$2:$L$245,7,1)</f>
        <v>4.7807170000000001</v>
      </c>
      <c r="I25" s="3" t="str">
        <f>VLOOKUP($A25,'Summary Data (40)'!$C$2:$L$245,4,0)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5.2329871189837647</v>
      </c>
      <c r="N25" s="3">
        <f t="shared" si="1"/>
        <v>7.8947406711968702</v>
      </c>
      <c r="O25" s="3">
        <f t="shared" si="2"/>
        <v>8.0641771433916301</v>
      </c>
      <c r="P25" s="3">
        <f t="shared" si="3"/>
        <v>-0.16943647219475988</v>
      </c>
      <c r="Q25" s="5">
        <f t="shared" si="4"/>
        <v>-2.1011005733375832E-2</v>
      </c>
      <c r="R25" s="3">
        <f t="shared" si="5"/>
        <v>174.57078263739461</v>
      </c>
      <c r="S25" s="3">
        <f t="shared" si="6"/>
        <v>136.30622822443897</v>
      </c>
      <c r="T25" s="3">
        <f t="shared" si="7"/>
        <v>38.264554412955647</v>
      </c>
      <c r="U25" s="3">
        <f>VLOOKUP($A25,'Summary Data (40)'!$C$2:$N$245,11,0)</f>
        <v>0</v>
      </c>
      <c r="V25" s="3">
        <f>VLOOKUP($A25,'Summary Data (40)'!$C$2:$N$245,12,1)</f>
        <v>0</v>
      </c>
      <c r="W25" s="3">
        <f>VLOOKUP($A25,'Summary Data (40)'!$C$2:$N$245,11,1)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(40)'!$C$2:$L$245,3,0)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(40)'!$C$2:$L$245,5,1)</f>
        <v>-4.7029480000000001</v>
      </c>
      <c r="G26" s="3">
        <f>VLOOKUP($A26,'Summary Data (40)'!$C$2:$L$245,6,1)</f>
        <v>1.6</v>
      </c>
      <c r="H26" s="3">
        <f>VLOOKUP($A26,'Summary Data (40)'!$C$2:$L$245,7,1)</f>
        <v>6.7438700000000003</v>
      </c>
      <c r="I26" s="3" t="str">
        <f>VLOOKUP($A26,'Summary Data (40)'!$C$2:$L$245,4,0)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6.1990180709209106</v>
      </c>
      <c r="N26" s="3">
        <f t="shared" si="1"/>
        <v>2.6775828808094819</v>
      </c>
      <c r="O26" s="3">
        <f t="shared" si="2"/>
        <v>4.3329067610554466</v>
      </c>
      <c r="P26" s="3">
        <f t="shared" si="3"/>
        <v>-1.6553238802459647</v>
      </c>
      <c r="Q26" s="5">
        <f t="shared" si="4"/>
        <v>-0.38203542599258394</v>
      </c>
      <c r="R26" s="3">
        <f t="shared" si="5"/>
        <v>-19.074748100261683</v>
      </c>
      <c r="S26" s="3">
        <f t="shared" si="6"/>
        <v>103.47532532734485</v>
      </c>
      <c r="T26" s="3">
        <f t="shared" si="7"/>
        <v>122.55007342760653</v>
      </c>
      <c r="U26" s="3">
        <f>VLOOKUP($A26,'Summary Data (40)'!$C$2:$N$245,11,0)</f>
        <v>0</v>
      </c>
      <c r="V26" s="3">
        <f>VLOOKUP($A26,'Summary Data (40)'!$C$2:$N$245,12,1)</f>
        <v>0</v>
      </c>
      <c r="W26" s="3">
        <f>VLOOKUP($A26,'Summary Data (40)'!$C$2:$N$245,11,1)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(40)'!$C$2:$L$245,3,0)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(40)'!$C$2:$L$245,5,1)</f>
        <v>-3.9346899999999998</v>
      </c>
      <c r="G27" s="3">
        <f>VLOOKUP($A27,'Summary Data (40)'!$C$2:$L$245,6,1)</f>
        <v>1.6</v>
      </c>
      <c r="H27" s="3">
        <f>VLOOKUP($A27,'Summary Data (40)'!$C$2:$L$245,7,1)</f>
        <v>3.579672</v>
      </c>
      <c r="I27" s="3" t="str">
        <f>VLOOKUP($A27,'Summary Data (40)'!$C$2:$L$245,4,0)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0.57861286166486103</v>
      </c>
      <c r="N27" s="3">
        <f t="shared" si="1"/>
        <v>8.2918075394743695</v>
      </c>
      <c r="O27" s="3">
        <f t="shared" si="2"/>
        <v>8.8659173242253964</v>
      </c>
      <c r="P27" s="3">
        <f t="shared" si="3"/>
        <v>-0.57410978475102681</v>
      </c>
      <c r="Q27" s="5">
        <f t="shared" si="4"/>
        <v>-6.4754696412780505E-2</v>
      </c>
      <c r="R27" s="3">
        <f t="shared" si="5"/>
        <v>111.35858600069317</v>
      </c>
      <c r="S27" s="3">
        <f t="shared" si="6"/>
        <v>111.8400397356186</v>
      </c>
      <c r="T27" s="3">
        <f t="shared" si="7"/>
        <v>0.48145373492543797</v>
      </c>
      <c r="U27" s="3">
        <f>VLOOKUP($A27,'Summary Data (40)'!$C$2:$N$245,11,0)</f>
        <v>0</v>
      </c>
      <c r="V27" s="3">
        <f>VLOOKUP($A27,'Summary Data (40)'!$C$2:$N$245,12,1)</f>
        <v>0</v>
      </c>
      <c r="W27" s="3">
        <f>VLOOKUP($A27,'Summary Data (40)'!$C$2:$N$245,11,1)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(40)'!$C$2:$L$245,3,0)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(40)'!$C$2:$L$245,5,1)</f>
        <v>3.0257710000000002</v>
      </c>
      <c r="G28" s="3">
        <f>VLOOKUP($A28,'Summary Data (40)'!$C$2:$L$245,6,1)</f>
        <v>1.6</v>
      </c>
      <c r="H28" s="3">
        <f>VLOOKUP($A28,'Summary Data (40)'!$C$2:$L$245,7,1)</f>
        <v>-0.53620330000000005</v>
      </c>
      <c r="I28" s="3" t="str">
        <f>VLOOKUP($A28,'Summary Data (40)'!$C$2:$L$245,4,0)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0.9026549316166671</v>
      </c>
      <c r="N28" s="3">
        <f t="shared" si="1"/>
        <v>2.3786831965547428</v>
      </c>
      <c r="O28" s="3">
        <f t="shared" si="2"/>
        <v>2.5489458605470614</v>
      </c>
      <c r="P28" s="3">
        <f t="shared" si="3"/>
        <v>-0.1702626639923186</v>
      </c>
      <c r="Q28" s="5">
        <f t="shared" si="4"/>
        <v>-6.6797285351434019E-2</v>
      </c>
      <c r="R28" s="3">
        <f t="shared" si="5"/>
        <v>-77.654050540796021</v>
      </c>
      <c r="S28" s="3">
        <f t="shared" si="6"/>
        <v>-98.393760889818068</v>
      </c>
      <c r="T28" s="3">
        <f t="shared" si="7"/>
        <v>20.739710349022047</v>
      </c>
      <c r="U28" s="3">
        <f>VLOOKUP($A28,'Summary Data (40)'!$C$2:$N$245,11,0)</f>
        <v>0</v>
      </c>
      <c r="V28" s="3">
        <f>VLOOKUP($A28,'Summary Data (40)'!$C$2:$N$245,12,1)</f>
        <v>0</v>
      </c>
      <c r="W28" s="3">
        <f>VLOOKUP($A28,'Summary Data (40)'!$C$2:$N$245,11,1)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(40)'!$C$2:$L$245,3,0)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(40)'!$C$2:$L$245,5,1)</f>
        <v>-3.9873690000000002</v>
      </c>
      <c r="G29" s="3">
        <f>VLOOKUP($A29,'Summary Data (40)'!$C$2:$L$245,6,1)</f>
        <v>1.6</v>
      </c>
      <c r="H29" s="3">
        <f>VLOOKUP($A29,'Summary Data (40)'!$C$2:$L$245,7,1)</f>
        <v>1.974796</v>
      </c>
      <c r="I29" s="3" t="str">
        <f>VLOOKUP($A29,'Summary Data (40)'!$C$2:$L$245,4,0)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4.0728699934784318</v>
      </c>
      <c r="N29" s="3">
        <f t="shared" si="1"/>
        <v>2.167142035441378</v>
      </c>
      <c r="O29" s="3">
        <f t="shared" si="2"/>
        <v>4.3329067610554466</v>
      </c>
      <c r="P29" s="3">
        <f t="shared" si="3"/>
        <v>-2.1657647256140686</v>
      </c>
      <c r="Q29" s="5">
        <f t="shared" si="4"/>
        <v>-0.49984106398968831</v>
      </c>
      <c r="R29" s="3">
        <f t="shared" si="5"/>
        <v>-19.074748100261683</v>
      </c>
      <c r="S29" s="3">
        <f t="shared" si="6"/>
        <v>-87.576700068378429</v>
      </c>
      <c r="T29" s="3">
        <f t="shared" si="7"/>
        <v>68.501951968116742</v>
      </c>
      <c r="U29" s="3">
        <f>VLOOKUP($A29,'Summary Data (40)'!$C$2:$N$245,11,0)</f>
        <v>0</v>
      </c>
      <c r="V29" s="3">
        <f>VLOOKUP($A29,'Summary Data (40)'!$C$2:$N$245,12,1)</f>
        <v>0</v>
      </c>
      <c r="W29" s="3">
        <f>VLOOKUP($A29,'Summary Data (40)'!$C$2:$N$245,11,1)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(40)'!$C$2:$L$245,3,0)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(40)'!$C$2:$L$245,5,1)</f>
        <v>-5.5945369999999999</v>
      </c>
      <c r="G30" s="3">
        <f>VLOOKUP($A30,'Summary Data (40)'!$C$2:$L$245,6,1)</f>
        <v>1.6</v>
      </c>
      <c r="H30" s="3">
        <f>VLOOKUP($A30,'Summary Data (40)'!$C$2:$L$245,7,1)</f>
        <v>5.2757820000000004</v>
      </c>
      <c r="I30" s="3" t="str">
        <f>VLOOKUP($A30,'Summary Data (40)'!$C$2:$L$245,4,0)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10.523069183650415</v>
      </c>
      <c r="N30" s="3">
        <f t="shared" si="1"/>
        <v>13.249229794818</v>
      </c>
      <c r="O30" s="3">
        <f t="shared" si="2"/>
        <v>4.3718971854333439</v>
      </c>
      <c r="P30" s="3">
        <f t="shared" si="3"/>
        <v>8.8773326093846556</v>
      </c>
      <c r="Q30" s="5">
        <f t="shared" si="4"/>
        <v>2.030544688690965</v>
      </c>
      <c r="R30" s="3">
        <f t="shared" si="5"/>
        <v>177.02371934116897</v>
      </c>
      <c r="S30" s="3">
        <f t="shared" si="6"/>
        <v>133.44261045171908</v>
      </c>
      <c r="T30" s="3">
        <f t="shared" si="7"/>
        <v>43.581108889449894</v>
      </c>
      <c r="U30" s="3">
        <f>VLOOKUP($A30,'Summary Data (40)'!$C$2:$N$245,11,0)</f>
        <v>0</v>
      </c>
      <c r="V30" s="3">
        <f>VLOOKUP($A30,'Summary Data (40)'!$C$2:$N$245,12,1)</f>
        <v>0</v>
      </c>
      <c r="W30" s="3">
        <f>VLOOKUP($A30,'Summary Data (40)'!$C$2:$N$245,11,1)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(40)'!$C$2:$L$245,3,0)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(40)'!$C$2:$L$245,5,1)</f>
        <v>-3.8730660000000001</v>
      </c>
      <c r="G31" s="3">
        <f>VLOOKUP($A31,'Summary Data (40)'!$C$2:$L$245,6,1)</f>
        <v>1.6</v>
      </c>
      <c r="H31" s="3">
        <f>VLOOKUP($A31,'Summary Data (40)'!$C$2:$L$245,7,1)</f>
        <v>-10.88631</v>
      </c>
      <c r="I31" s="3" t="str">
        <f>VLOOKUP($A31,'Summary Data (40)'!$C$2:$L$245,4,0)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9.4809243982037952</v>
      </c>
      <c r="N31" s="3">
        <f t="shared" si="1"/>
        <v>10.978866924070807</v>
      </c>
      <c r="O31" s="3">
        <f t="shared" si="2"/>
        <v>1.5015515309172709</v>
      </c>
      <c r="P31" s="3">
        <f t="shared" si="3"/>
        <v>9.4773153931535372</v>
      </c>
      <c r="Q31" s="5">
        <f t="shared" si="4"/>
        <v>6.3116817491864667</v>
      </c>
      <c r="R31" s="3">
        <f t="shared" si="5"/>
        <v>-85.071579131103505</v>
      </c>
      <c r="S31" s="3">
        <f t="shared" si="6"/>
        <v>-88.763408620382606</v>
      </c>
      <c r="T31" s="3">
        <f t="shared" si="7"/>
        <v>3.691829489279101</v>
      </c>
      <c r="U31" s="3">
        <f>VLOOKUP($A31,'Summary Data (40)'!$C$2:$N$245,11,0)</f>
        <v>0</v>
      </c>
      <c r="V31" s="3">
        <f>VLOOKUP($A31,'Summary Data (40)'!$C$2:$N$245,12,1)</f>
        <v>0</v>
      </c>
      <c r="W31" s="3">
        <f>VLOOKUP($A31,'Summary Data (40)'!$C$2:$N$245,11,1)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(40)'!$C$2:$L$245,3,0)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(40)'!$C$2:$L$245,5,1)</f>
        <v>-5.1282420000000002</v>
      </c>
      <c r="G32" s="3">
        <f>VLOOKUP($A32,'Summary Data (40)'!$C$2:$L$245,6,1)</f>
        <v>1.6</v>
      </c>
      <c r="H32" s="3">
        <f>VLOOKUP($A32,'Summary Data (40)'!$C$2:$L$245,7,1)</f>
        <v>2.0716060000000001</v>
      </c>
      <c r="I32" s="3" t="str">
        <f>VLOOKUP($A32,'Summary Data (40)'!$C$2:$L$245,4,0)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2.2279091340986059</v>
      </c>
      <c r="N32" s="3">
        <f t="shared" si="1"/>
        <v>9.4534309336769358</v>
      </c>
      <c r="O32" s="3">
        <f t="shared" si="2"/>
        <v>8.0641771433916301</v>
      </c>
      <c r="P32" s="3">
        <f t="shared" si="3"/>
        <v>1.3892537902853057</v>
      </c>
      <c r="Q32" s="5">
        <f t="shared" si="4"/>
        <v>0.17227471142840167</v>
      </c>
      <c r="R32" s="3">
        <f t="shared" si="5"/>
        <v>174.57078263739461</v>
      </c>
      <c r="S32" s="3">
        <f t="shared" si="6"/>
        <v>163.12234081785488</v>
      </c>
      <c r="T32" s="3">
        <f t="shared" si="7"/>
        <v>11.448441819539738</v>
      </c>
      <c r="U32" s="3">
        <f>VLOOKUP($A32,'Summary Data (40)'!$C$2:$N$245,11,0)</f>
        <v>0</v>
      </c>
      <c r="V32" s="3">
        <f>VLOOKUP($A32,'Summary Data (40)'!$C$2:$N$245,12,1)</f>
        <v>0</v>
      </c>
      <c r="W32" s="3">
        <f>VLOOKUP($A32,'Summary Data (40)'!$C$2:$N$245,11,1)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(40)'!$C$2:$L$245,3,0)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(40)'!$C$2:$L$245,5,1)</f>
        <v>-2.6037240000000001</v>
      </c>
      <c r="G33" s="3">
        <f>VLOOKUP($A33,'Summary Data (40)'!$C$2:$L$245,6,1)</f>
        <v>1.6</v>
      </c>
      <c r="H33" s="3">
        <f>VLOOKUP($A33,'Summary Data (40)'!$C$2:$L$245,7,1)</f>
        <v>-3.8560509999999999</v>
      </c>
      <c r="I33" s="3" t="str">
        <f>VLOOKUP($A33,'Summary Data (40)'!$C$2:$L$245,4,0)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6.1391461998210302</v>
      </c>
      <c r="N33" s="3">
        <f t="shared" si="1"/>
        <v>7.0823742487090442</v>
      </c>
      <c r="O33" s="3">
        <f t="shared" si="2"/>
        <v>7.8871175977032326</v>
      </c>
      <c r="P33" s="3">
        <f t="shared" si="3"/>
        <v>-0.80474334899418842</v>
      </c>
      <c r="Q33" s="5">
        <f t="shared" si="4"/>
        <v>-0.10203262966797066</v>
      </c>
      <c r="R33" s="3">
        <f t="shared" si="5"/>
        <v>-63.65586590726528</v>
      </c>
      <c r="S33" s="3">
        <f t="shared" si="6"/>
        <v>-111.7090475698291</v>
      </c>
      <c r="T33" s="3">
        <f t="shared" si="7"/>
        <v>48.053181662563816</v>
      </c>
      <c r="U33" s="3">
        <f>VLOOKUP($A33,'Summary Data (40)'!$C$2:$N$245,11,0)</f>
        <v>0</v>
      </c>
      <c r="V33" s="3">
        <f>VLOOKUP($A33,'Summary Data (40)'!$C$2:$N$245,12,1)</f>
        <v>0</v>
      </c>
      <c r="W33" s="3">
        <f>VLOOKUP($A33,'Summary Data (40)'!$C$2:$N$245,11,1)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(40)'!$C$2:$L$245,3,0)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(40)'!$C$2:$L$245,5,1)</f>
        <v>-1.9630069999999999</v>
      </c>
      <c r="G34" s="3">
        <f>VLOOKUP($A34,'Summary Data (40)'!$C$2:$L$245,6,1)</f>
        <v>1.6</v>
      </c>
      <c r="H34" s="3">
        <f>VLOOKUP($A34,'Summary Data (40)'!$C$2:$L$245,7,1)</f>
        <v>3.3641839999999998</v>
      </c>
      <c r="I34" s="3" t="str">
        <f>VLOOKUP($A34,'Summary Data (40)'!$C$2:$L$245,4,0)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5.5557851860835115</v>
      </c>
      <c r="N34" s="3">
        <f t="shared" si="1"/>
        <v>5.1794740217424584</v>
      </c>
      <c r="O34" s="3">
        <f t="shared" si="2"/>
        <v>8.0292617967033557</v>
      </c>
      <c r="P34" s="3">
        <f t="shared" si="3"/>
        <v>-2.8497877749608973</v>
      </c>
      <c r="Q34" s="5">
        <f t="shared" si="4"/>
        <v>-0.3549252530451753</v>
      </c>
      <c r="R34" s="3">
        <f t="shared" si="5"/>
        <v>23.666151625811782</v>
      </c>
      <c r="S34" s="3">
        <f t="shared" si="6"/>
        <v>67.069547637825522</v>
      </c>
      <c r="T34" s="3">
        <f t="shared" si="7"/>
        <v>43.403396012013744</v>
      </c>
      <c r="U34" s="3">
        <f>VLOOKUP($A34,'Summary Data (40)'!$C$2:$N$245,11,0)</f>
        <v>0</v>
      </c>
      <c r="V34" s="3">
        <f>VLOOKUP($A34,'Summary Data (40)'!$C$2:$N$245,12,1)</f>
        <v>0</v>
      </c>
      <c r="W34" s="3">
        <f>VLOOKUP($A34,'Summary Data (40)'!$C$2:$N$245,11,1)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(40)'!$C$2:$L$245,3,0)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(40)'!$C$2:$L$245,5,1)</f>
        <v>-4.0855189999999997</v>
      </c>
      <c r="G35" s="3">
        <f>VLOOKUP($A35,'Summary Data (40)'!$C$2:$L$245,6,1)</f>
        <v>1.6</v>
      </c>
      <c r="H35" s="3">
        <f>VLOOKUP($A35,'Summary Data (40)'!$C$2:$L$245,7,1)</f>
        <v>9.8348630000000006E-2</v>
      </c>
      <c r="I35" s="3" t="str">
        <f>VLOOKUP($A35,'Summary Data (40)'!$C$2:$L$245,4,0)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2.5865401289694532E-2</v>
      </c>
      <c r="N35" s="3">
        <f t="shared" si="1"/>
        <v>8.0406029060241426</v>
      </c>
      <c r="O35" s="3">
        <f t="shared" si="2"/>
        <v>8.0641771433916301</v>
      </c>
      <c r="P35" s="3">
        <f t="shared" si="3"/>
        <v>-2.3574237367487427E-2</v>
      </c>
      <c r="Q35" s="5">
        <f t="shared" si="4"/>
        <v>-2.9233283133922551E-3</v>
      </c>
      <c r="R35" s="3">
        <f t="shared" si="5"/>
        <v>174.57078263739461</v>
      </c>
      <c r="S35" s="3">
        <f t="shared" si="6"/>
        <v>174.49505331826975</v>
      </c>
      <c r="T35" s="3">
        <f t="shared" si="7"/>
        <v>7.5729319124860695E-2</v>
      </c>
      <c r="U35" s="3">
        <f>VLOOKUP($A35,'Summary Data (40)'!$C$2:$N$245,11,0)</f>
        <v>0</v>
      </c>
      <c r="V35" s="3">
        <f>VLOOKUP($A35,'Summary Data (40)'!$C$2:$N$245,12,1)</f>
        <v>0</v>
      </c>
      <c r="W35" s="3">
        <f>VLOOKUP($A35,'Summary Data (40)'!$C$2:$N$245,11,1)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(40)'!$C$2:$L$245,3,0)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(40)'!$C$2:$L$245,5,1)</f>
        <v>9.570112</v>
      </c>
      <c r="G36" s="3">
        <f>VLOOKUP($A36,'Summary Data (40)'!$C$2:$L$245,6,1)</f>
        <v>1.6</v>
      </c>
      <c r="H36" s="3">
        <f>VLOOKUP($A36,'Summary Data (40)'!$C$2:$L$245,7,1)</f>
        <v>-1.6469510000000001</v>
      </c>
      <c r="I36" s="3" t="str">
        <f>VLOOKUP($A36,'Summary Data (40)'!$C$2:$L$245,4,0)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5.7354119826691612</v>
      </c>
      <c r="N36" s="3">
        <f t="shared" si="1"/>
        <v>7.0995178477798762</v>
      </c>
      <c r="O36" s="3">
        <f t="shared" si="2"/>
        <v>2.5489458605470614</v>
      </c>
      <c r="P36" s="3">
        <f t="shared" si="3"/>
        <v>4.5505719872328143</v>
      </c>
      <c r="Q36" s="5">
        <f t="shared" si="4"/>
        <v>1.7852760459400887</v>
      </c>
      <c r="R36" s="3">
        <f t="shared" si="5"/>
        <v>-77.654050540796021</v>
      </c>
      <c r="S36" s="3">
        <f t="shared" si="6"/>
        <v>-29.203537685835581</v>
      </c>
      <c r="T36" s="3">
        <f t="shared" si="7"/>
        <v>48.450512854960436</v>
      </c>
      <c r="U36" s="3">
        <f>VLOOKUP($A36,'Summary Data (40)'!$C$2:$N$245,11,0)</f>
        <v>0</v>
      </c>
      <c r="V36" s="3">
        <f>VLOOKUP($A36,'Summary Data (40)'!$C$2:$N$245,12,1)</f>
        <v>0</v>
      </c>
      <c r="W36" s="3">
        <f>VLOOKUP($A36,'Summary Data (40)'!$C$2:$N$245,11,1)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(40)'!$C$2:$L$245,3,0)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(40)'!$C$2:$L$245,5,1)</f>
        <v>4.4386590000000004</v>
      </c>
      <c r="G37" s="3">
        <f>VLOOKUP($A37,'Summary Data (40)'!$C$2:$L$245,6,1)</f>
        <v>1.6</v>
      </c>
      <c r="H37" s="3">
        <f>VLOOKUP($A37,'Summary Data (40)'!$C$2:$L$245,7,1)</f>
        <v>3.502589</v>
      </c>
      <c r="I37" s="3" t="str">
        <f>VLOOKUP($A37,'Summary Data (40)'!$C$2:$L$245,4,0)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4.4906696005386548</v>
      </c>
      <c r="N37" s="3">
        <f t="shared" si="1"/>
        <v>8.541475728654973</v>
      </c>
      <c r="O37" s="3">
        <f t="shared" si="2"/>
        <v>4.3329067610554466</v>
      </c>
      <c r="P37" s="3">
        <f t="shared" si="3"/>
        <v>4.2085689675995264</v>
      </c>
      <c r="Q37" s="5">
        <f t="shared" si="4"/>
        <v>0.97130383820545607</v>
      </c>
      <c r="R37" s="3">
        <f t="shared" si="5"/>
        <v>-19.074748100261683</v>
      </c>
      <c r="S37" s="3">
        <f t="shared" si="6"/>
        <v>-4.2796987004856115</v>
      </c>
      <c r="T37" s="3">
        <f t="shared" si="7"/>
        <v>14.795049399776072</v>
      </c>
      <c r="U37" s="3">
        <f>VLOOKUP($A37,'Summary Data (40)'!$C$2:$N$245,11,0)</f>
        <v>0</v>
      </c>
      <c r="V37" s="3">
        <f>VLOOKUP($A37,'Summary Data (40)'!$C$2:$N$245,12,1)</f>
        <v>0</v>
      </c>
      <c r="W37" s="3">
        <f>VLOOKUP($A37,'Summary Data (40)'!$C$2:$N$245,11,1)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(40)'!$C$2:$L$245,3,0)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(40)'!$C$2:$L$245,5,1)</f>
        <v>-1.752483</v>
      </c>
      <c r="G38" s="3">
        <f>VLOOKUP($A38,'Summary Data (40)'!$C$2:$L$245,6,1)</f>
        <v>1.6</v>
      </c>
      <c r="H38" s="3">
        <f>VLOOKUP($A38,'Summary Data (40)'!$C$2:$L$245,7,1)</f>
        <v>0.59688319999999995</v>
      </c>
      <c r="I38" s="3" t="str">
        <f>VLOOKUP($A38,'Summary Data (40)'!$C$2:$L$245,4,0)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5.2687058172696677</v>
      </c>
      <c r="N38" s="3">
        <f t="shared" si="1"/>
        <v>2.9963025768655678</v>
      </c>
      <c r="O38" s="3">
        <f t="shared" si="2"/>
        <v>8.0292617967033557</v>
      </c>
      <c r="P38" s="3">
        <f t="shared" si="3"/>
        <v>-5.0329592198377879</v>
      </c>
      <c r="Q38" s="5">
        <f t="shared" si="4"/>
        <v>-0.62682714143213192</v>
      </c>
      <c r="R38" s="3">
        <f t="shared" si="5"/>
        <v>23.666151625811782</v>
      </c>
      <c r="S38" s="3">
        <f t="shared" si="6"/>
        <v>41.947669419955751</v>
      </c>
      <c r="T38" s="3">
        <f t="shared" si="7"/>
        <v>18.281517794143969</v>
      </c>
      <c r="U38" s="3">
        <f>VLOOKUP($A38,'Summary Data (40)'!$C$2:$N$245,11,0)</f>
        <v>0</v>
      </c>
      <c r="V38" s="3">
        <f>VLOOKUP($A38,'Summary Data (40)'!$C$2:$N$245,12,1)</f>
        <v>0</v>
      </c>
      <c r="W38" s="3">
        <f>VLOOKUP($A38,'Summary Data (40)'!$C$2:$N$245,11,1)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(40)'!$C$2:$L$245,3,0)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(40)'!$C$2:$L$245,5,1)</f>
        <v>-3.302076</v>
      </c>
      <c r="G39" s="3">
        <f>VLOOKUP($A39,'Summary Data (40)'!$C$2:$L$245,6,1)</f>
        <v>1.6</v>
      </c>
      <c r="H39" s="3">
        <f>VLOOKUP($A39,'Summary Data (40)'!$C$2:$L$245,7,1)</f>
        <v>5.1263769999999997</v>
      </c>
      <c r="I39" s="3" t="str">
        <f>VLOOKUP($A39,'Summary Data (40)'!$C$2:$L$245,4,0)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5.1007680280429337</v>
      </c>
      <c r="N39" s="3">
        <f t="shared" si="1"/>
        <v>9.260792138575674</v>
      </c>
      <c r="O39" s="3">
        <f t="shared" si="2"/>
        <v>8.0641771433916301</v>
      </c>
      <c r="P39" s="3">
        <f t="shared" si="3"/>
        <v>1.1966149951840439</v>
      </c>
      <c r="Q39" s="5">
        <f t="shared" si="4"/>
        <v>0.14838649671338591</v>
      </c>
      <c r="R39" s="3">
        <f t="shared" si="5"/>
        <v>174.57078263739461</v>
      </c>
      <c r="S39" s="3">
        <f t="shared" si="6"/>
        <v>141.22754708198298</v>
      </c>
      <c r="T39" s="3">
        <f t="shared" si="7"/>
        <v>33.343235555411638</v>
      </c>
      <c r="U39" s="3">
        <f>VLOOKUP($A39,'Summary Data (40)'!$C$2:$N$245,11,0)</f>
        <v>0</v>
      </c>
      <c r="V39" s="3">
        <f>VLOOKUP($A39,'Summary Data (40)'!$C$2:$N$245,12,1)</f>
        <v>0</v>
      </c>
      <c r="W39" s="3">
        <f>VLOOKUP($A39,'Summary Data (40)'!$C$2:$N$245,11,1)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(40)'!$C$2:$L$245,3,0)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(40)'!$C$2:$L$245,5,1)</f>
        <v>-1.879699</v>
      </c>
      <c r="G40" s="3">
        <f>VLOOKUP($A40,'Summary Data (40)'!$C$2:$L$245,6,1)</f>
        <v>1.6</v>
      </c>
      <c r="H40" s="3">
        <f>VLOOKUP($A40,'Summary Data (40)'!$C$2:$L$245,7,1)</f>
        <v>-3.3658440000000001</v>
      </c>
      <c r="I40" s="3" t="str">
        <f>VLOOKUP($A40,'Summary Data (40)'!$C$2:$L$245,4,0)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5.4836444869208112</v>
      </c>
      <c r="N40" s="3">
        <f t="shared" si="1"/>
        <v>6.378077660466122</v>
      </c>
      <c r="O40" s="3">
        <f t="shared" si="2"/>
        <v>7.8871175977032326</v>
      </c>
      <c r="P40" s="3">
        <f t="shared" si="3"/>
        <v>-1.5090399372371106</v>
      </c>
      <c r="Q40" s="5">
        <f t="shared" si="4"/>
        <v>-0.19132971184258118</v>
      </c>
      <c r="R40" s="3">
        <f t="shared" si="5"/>
        <v>-63.65586590726528</v>
      </c>
      <c r="S40" s="3">
        <f t="shared" si="6"/>
        <v>-107.29076972636733</v>
      </c>
      <c r="T40" s="3">
        <f t="shared" si="7"/>
        <v>43.63490381910205</v>
      </c>
      <c r="U40" s="3">
        <f>VLOOKUP($A40,'Summary Data (40)'!$C$2:$N$245,11,0)</f>
        <v>0</v>
      </c>
      <c r="V40" s="3">
        <f>VLOOKUP($A40,'Summary Data (40)'!$C$2:$N$245,12,1)</f>
        <v>0</v>
      </c>
      <c r="W40" s="3">
        <f>VLOOKUP($A40,'Summary Data (40)'!$C$2:$N$245,11,1)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(40)'!$C$2:$L$245,3,0)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(40)'!$C$2:$L$245,5,1)</f>
        <v>-5.3331609999999996</v>
      </c>
      <c r="G41" s="3">
        <f>VLOOKUP($A41,'Summary Data (40)'!$C$2:$L$245,6,1)</f>
        <v>1.6</v>
      </c>
      <c r="H41" s="3">
        <f>VLOOKUP($A41,'Summary Data (40)'!$C$2:$L$245,7,1)</f>
        <v>1.3101830000000001</v>
      </c>
      <c r="I41" s="3" t="str">
        <f>VLOOKUP($A41,'Summary Data (40)'!$C$2:$L$245,4,0)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3.0952841658577968</v>
      </c>
      <c r="N41" s="3">
        <f t="shared" si="1"/>
        <v>7.0393925780148106</v>
      </c>
      <c r="O41" s="3">
        <f t="shared" si="2"/>
        <v>8.8659173242253964</v>
      </c>
      <c r="P41" s="3">
        <f t="shared" si="3"/>
        <v>-1.8265247462105858</v>
      </c>
      <c r="Q41" s="5">
        <f t="shared" si="4"/>
        <v>-0.20601644245201292</v>
      </c>
      <c r="R41" s="3">
        <f t="shared" si="5"/>
        <v>111.35858600069317</v>
      </c>
      <c r="S41" s="3">
        <f t="shared" si="6"/>
        <v>129.55863830781541</v>
      </c>
      <c r="T41" s="3">
        <f t="shared" si="7"/>
        <v>18.200052307122249</v>
      </c>
      <c r="U41" s="3">
        <f>VLOOKUP($A41,'Summary Data (40)'!$C$2:$N$245,11,0)</f>
        <v>0</v>
      </c>
      <c r="V41" s="3">
        <f>VLOOKUP($A41,'Summary Data (40)'!$C$2:$N$245,12,1)</f>
        <v>0</v>
      </c>
      <c r="W41" s="3">
        <f>VLOOKUP($A41,'Summary Data (40)'!$C$2:$N$245,11,1)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0.99463447155157392</v>
      </c>
      <c r="T42" s="3">
        <f>AVERAGE(T2:T41)</f>
        <v>37.633731035953225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8" activeCellId="1" sqref="E2:E41 B8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2017-09-13T11:20:22Z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