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30 OGTB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C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D4" i="3" l="1"/>
  <c r="E39" i="3"/>
  <c r="J18" i="3"/>
  <c r="C12" i="3"/>
  <c r="S12" i="3" s="1"/>
  <c r="D13" i="3"/>
  <c r="C39" i="3"/>
  <c r="N39" i="3" s="1"/>
  <c r="C13" i="3"/>
  <c r="D36" i="3"/>
  <c r="L40" i="3"/>
  <c r="D3" i="3"/>
  <c r="L7" i="3"/>
  <c r="L9" i="3"/>
  <c r="M9" i="3" s="1"/>
  <c r="E12" i="3"/>
  <c r="C22" i="3"/>
  <c r="C28" i="3"/>
  <c r="J29" i="3"/>
  <c r="J5" i="3"/>
  <c r="E22" i="3"/>
  <c r="L25" i="3"/>
  <c r="E28" i="3"/>
  <c r="N28" i="3" s="1"/>
  <c r="K29" i="3"/>
  <c r="D35" i="3"/>
  <c r="C36" i="3"/>
  <c r="L3" i="3"/>
  <c r="K17" i="3"/>
  <c r="C40" i="3"/>
  <c r="N40" i="3" s="1"/>
  <c r="J4" i="3"/>
  <c r="R4" i="3" s="1"/>
  <c r="C9" i="3"/>
  <c r="N9" i="3" s="1"/>
  <c r="L4" i="3"/>
  <c r="D8" i="3"/>
  <c r="D9" i="3"/>
  <c r="S13" i="3"/>
  <c r="J13" i="3"/>
  <c r="J14" i="3"/>
  <c r="M14" i="3" s="1"/>
  <c r="E15" i="3"/>
  <c r="L16" i="3"/>
  <c r="L20" i="3"/>
  <c r="J25" i="3"/>
  <c r="M25" i="3" s="1"/>
  <c r="C32" i="3"/>
  <c r="E33" i="3"/>
  <c r="J36" i="3"/>
  <c r="J40" i="3"/>
  <c r="M40" i="3" s="1"/>
  <c r="D16" i="3"/>
  <c r="K21" i="3"/>
  <c r="J27" i="3"/>
  <c r="J7" i="3"/>
  <c r="M7" i="3" s="1"/>
  <c r="J9" i="3"/>
  <c r="K10" i="3"/>
  <c r="L13" i="3"/>
  <c r="K14" i="3"/>
  <c r="E19" i="3"/>
  <c r="K24" i="3"/>
  <c r="J31" i="3"/>
  <c r="E32" i="3"/>
  <c r="S32" i="3" s="1"/>
  <c r="L36" i="3"/>
  <c r="K37" i="3"/>
  <c r="E2" i="3"/>
  <c r="E3" i="3"/>
  <c r="S3" i="3" s="1"/>
  <c r="J6" i="3"/>
  <c r="E8" i="3"/>
  <c r="S8" i="3" s="1"/>
  <c r="L12" i="3"/>
  <c r="E16" i="3"/>
  <c r="N16" i="3" s="1"/>
  <c r="C17" i="3"/>
  <c r="L17" i="3"/>
  <c r="M17" i="3" s="1"/>
  <c r="C20" i="3"/>
  <c r="L21" i="3"/>
  <c r="M21" i="3" s="1"/>
  <c r="J23" i="3"/>
  <c r="C24" i="3"/>
  <c r="S24" i="3" s="1"/>
  <c r="C26" i="3"/>
  <c r="D27" i="3"/>
  <c r="K28" i="3"/>
  <c r="C30" i="3"/>
  <c r="D31" i="3"/>
  <c r="K32" i="3"/>
  <c r="J33" i="3"/>
  <c r="S36" i="3"/>
  <c r="D40" i="3"/>
  <c r="J41" i="3"/>
  <c r="M41" i="3" s="1"/>
  <c r="S4" i="3"/>
  <c r="S9" i="3"/>
  <c r="K6" i="3"/>
  <c r="N13" i="3"/>
  <c r="D17" i="3"/>
  <c r="D20" i="3"/>
  <c r="L23" i="3"/>
  <c r="D24" i="3"/>
  <c r="E26" i="3"/>
  <c r="E30" i="3"/>
  <c r="N30" i="3" s="1"/>
  <c r="K33" i="3"/>
  <c r="K41" i="3"/>
  <c r="K5" i="3"/>
  <c r="J10" i="3"/>
  <c r="M10" i="3" s="1"/>
  <c r="E11" i="3"/>
  <c r="O13" i="3"/>
  <c r="K18" i="3"/>
  <c r="L27" i="3"/>
  <c r="M27" i="3" s="1"/>
  <c r="L31" i="3"/>
  <c r="J37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M4" i="3"/>
  <c r="D5" i="3"/>
  <c r="C6" i="3"/>
  <c r="M6" i="3"/>
  <c r="D7" i="3"/>
  <c r="O9" i="3"/>
  <c r="C10" i="3"/>
  <c r="E10" i="3"/>
  <c r="D10" i="3"/>
  <c r="W13" i="3"/>
  <c r="V18" i="3"/>
  <c r="Y18" i="3" s="1"/>
  <c r="N20" i="3"/>
  <c r="L2" i="3"/>
  <c r="M2" i="3" s="1"/>
  <c r="E5" i="3"/>
  <c r="O5" i="3" s="1"/>
  <c r="M5" i="3"/>
  <c r="E6" i="3"/>
  <c r="E7" i="3"/>
  <c r="N7" i="3" s="1"/>
  <c r="J11" i="3"/>
  <c r="L11" i="3"/>
  <c r="K11" i="3"/>
  <c r="C14" i="3"/>
  <c r="E14" i="3"/>
  <c r="D14" i="3"/>
  <c r="W17" i="3"/>
  <c r="S20" i="3"/>
  <c r="N5" i="3"/>
  <c r="U7" i="3"/>
  <c r="K8" i="3"/>
  <c r="J8" i="3"/>
  <c r="V10" i="3"/>
  <c r="Y10" i="3" s="1"/>
  <c r="J15" i="3"/>
  <c r="L15" i="3"/>
  <c r="K15" i="3"/>
  <c r="C18" i="3"/>
  <c r="E18" i="3"/>
  <c r="S18" i="3" s="1"/>
  <c r="D18" i="3"/>
  <c r="W22" i="3"/>
  <c r="V7" i="3"/>
  <c r="L8" i="3"/>
  <c r="W9" i="3"/>
  <c r="V14" i="3"/>
  <c r="Y14" i="3" s="1"/>
  <c r="M18" i="3"/>
  <c r="J19" i="3"/>
  <c r="L19" i="3"/>
  <c r="K19" i="3"/>
  <c r="L22" i="3"/>
  <c r="J22" i="3"/>
  <c r="K22" i="3"/>
  <c r="C11" i="3"/>
  <c r="J12" i="3"/>
  <c r="M13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S25" i="3" s="1"/>
  <c r="E25" i="3"/>
  <c r="D25" i="3"/>
  <c r="D29" i="3"/>
  <c r="K30" i="3"/>
  <c r="N35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O33" i="3" s="1"/>
  <c r="D34" i="3"/>
  <c r="C34" i="3"/>
  <c r="N34" i="3" s="1"/>
  <c r="S35" i="3"/>
  <c r="E37" i="3"/>
  <c r="O37" i="3" s="1"/>
  <c r="D37" i="3"/>
  <c r="D38" i="3"/>
  <c r="C38" i="3"/>
  <c r="N38" i="3" s="1"/>
  <c r="S39" i="3"/>
  <c r="E41" i="3"/>
  <c r="D41" i="3"/>
  <c r="L34" i="3"/>
  <c r="K34" i="3"/>
  <c r="L38" i="3"/>
  <c r="K38" i="3"/>
  <c r="M33" i="3"/>
  <c r="S34" i="3"/>
  <c r="J34" i="3"/>
  <c r="K35" i="3"/>
  <c r="J35" i="3"/>
  <c r="N36" i="3"/>
  <c r="R36" i="3"/>
  <c r="M37" i="3"/>
  <c r="J38" i="3"/>
  <c r="K39" i="3"/>
  <c r="J39" i="3"/>
  <c r="M36" i="3"/>
  <c r="S16" i="3" l="1"/>
  <c r="O10" i="3"/>
  <c r="S40" i="3"/>
  <c r="T4" i="3"/>
  <c r="P13" i="3"/>
  <c r="Q13" i="3" s="1"/>
  <c r="S22" i="3"/>
  <c r="N22" i="3"/>
  <c r="S28" i="3"/>
  <c r="N12" i="3"/>
  <c r="T36" i="3"/>
  <c r="N3" i="3"/>
  <c r="M23" i="3"/>
  <c r="O17" i="3"/>
  <c r="N32" i="3"/>
  <c r="R40" i="3"/>
  <c r="T40" i="3" s="1"/>
  <c r="O40" i="3"/>
  <c r="P40" i="3" s="1"/>
  <c r="Q40" i="3" s="1"/>
  <c r="O27" i="3"/>
  <c r="N11" i="3"/>
  <c r="N17" i="3"/>
  <c r="O36" i="3"/>
  <c r="P36" i="3" s="1"/>
  <c r="Q36" i="3" s="1"/>
  <c r="R13" i="3"/>
  <c r="T13" i="3" s="1"/>
  <c r="O4" i="3"/>
  <c r="N15" i="3"/>
  <c r="N8" i="3"/>
  <c r="P9" i="3"/>
  <c r="Q9" i="3" s="1"/>
  <c r="O7" i="3"/>
  <c r="P7" i="3" s="1"/>
  <c r="Q7" i="3" s="1"/>
  <c r="N14" i="3"/>
  <c r="S38" i="3"/>
  <c r="O18" i="3"/>
  <c r="R9" i="3"/>
  <c r="T9" i="3" s="1"/>
  <c r="S6" i="3"/>
  <c r="P17" i="3"/>
  <c r="Q17" i="3" s="1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P39" i="3" s="1"/>
  <c r="Q39" i="3" s="1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P22" i="3" s="1"/>
  <c r="Q22" i="3" s="1"/>
  <c r="R19" i="3"/>
  <c r="O19" i="3"/>
  <c r="P19" i="3" s="1"/>
  <c r="Q19" i="3" s="1"/>
  <c r="M19" i="3"/>
  <c r="O25" i="3"/>
  <c r="Z22" i="3"/>
  <c r="X22" i="3"/>
  <c r="R11" i="3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T5" i="3" s="1"/>
  <c r="N2" i="3"/>
  <c r="O2" i="3"/>
  <c r="R7" i="3"/>
  <c r="O34" i="3"/>
  <c r="P34" i="3" s="1"/>
  <c r="Q34" i="3" s="1"/>
  <c r="R34" i="3"/>
  <c r="T34" i="3" s="1"/>
  <c r="M34" i="3"/>
  <c r="R24" i="3"/>
  <c r="T24" i="3" s="1"/>
  <c r="M24" i="3"/>
  <c r="O24" i="3"/>
  <c r="S41" i="3"/>
  <c r="R41" i="3"/>
  <c r="O29" i="3"/>
  <c r="R26" i="3"/>
  <c r="O26" i="3"/>
  <c r="M26" i="3"/>
  <c r="N25" i="3"/>
  <c r="R21" i="3"/>
  <c r="T21" i="3" s="1"/>
  <c r="O8" i="3"/>
  <c r="R8" i="3"/>
  <c r="T8" i="3" s="1"/>
  <c r="M8" i="3"/>
  <c r="X13" i="3"/>
  <c r="Z13" i="3"/>
  <c r="T6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T10" i="3" s="1"/>
  <c r="N18" i="3"/>
  <c r="P18" i="3" s="1"/>
  <c r="Q18" i="3" s="1"/>
  <c r="R25" i="3"/>
  <c r="T25" i="3" s="1"/>
  <c r="O38" i="3"/>
  <c r="P38" i="3" s="1"/>
  <c r="Q38" i="3" s="1"/>
  <c r="R38" i="3"/>
  <c r="M38" i="3"/>
  <c r="N29" i="3"/>
  <c r="O28" i="3"/>
  <c r="P28" i="3" s="1"/>
  <c r="Q28" i="3" s="1"/>
  <c r="R28" i="3"/>
  <c r="M28" i="3"/>
  <c r="R31" i="3"/>
  <c r="T31" i="3" s="1"/>
  <c r="R27" i="3"/>
  <c r="T27" i="3" s="1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P15" i="3" s="1"/>
  <c r="Q15" i="3" s="1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P6" i="3" s="1"/>
  <c r="Q6" i="3" s="1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P27" i="3" s="1"/>
  <c r="Q27" i="3" s="1"/>
  <c r="N37" i="3"/>
  <c r="P37" i="3" s="1"/>
  <c r="Q37" i="3" s="1"/>
  <c r="R33" i="3"/>
  <c r="T33" i="3" s="1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P25" i="3" l="1"/>
  <c r="Q25" i="3" s="1"/>
  <c r="T11" i="3"/>
  <c r="T26" i="3"/>
  <c r="T28" i="3"/>
  <c r="T38" i="3"/>
  <c r="P8" i="3"/>
  <c r="Q8" i="3" s="1"/>
  <c r="T7" i="3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T42" i="3" l="1"/>
  <c r="Q42" i="3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<sst xmlns="http://schemas.openxmlformats.org/spreadsheetml/2006/main" count="394" uniqueCount="37">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</sst>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activeCell="A2" sqref="A2:XFD3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42980.470636574071</v>
      </c>
      <c r="B2">
        <v>70.934650000000005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1.65</v>
      </c>
      <c r="I2">
        <v>-4.117</v>
      </c>
      <c r="J2">
        <v>6.7877330000000002</v>
      </c>
      <c r="K2">
        <v>19.49193</v>
      </c>
      <c r="L2">
        <v>358.4606</v>
      </c>
    </row>
    <row r="3" spans="1:12" x14ac:dyDescent="0.2">
      <c r="A3" s="1">
        <v>42980.470983796295</v>
      </c>
      <c r="B3">
        <v>100.929</v>
      </c>
      <c r="C3">
        <v>0</v>
      </c>
      <c r="D3" t="s">
        <v>35</v>
      </c>
      <c r="E3" t="s">
        <v>0</v>
      </c>
      <c r="F3" t="s">
        <v>1</v>
      </c>
      <c r="G3">
        <v>-0.3662145</v>
      </c>
      <c r="H3">
        <v>1.65</v>
      </c>
      <c r="I3">
        <v>-4.2375999999999996</v>
      </c>
      <c r="J3">
        <v>8.6740270000000006</v>
      </c>
      <c r="K3">
        <v>11.434229999999999</v>
      </c>
      <c r="L3">
        <v>359.38209999999998</v>
      </c>
    </row>
    <row r="4" spans="1:12" x14ac:dyDescent="0.2">
      <c r="A4" s="1">
        <v>42980.471550925926</v>
      </c>
      <c r="B4">
        <v>150.6429</v>
      </c>
      <c r="C4">
        <v>0</v>
      </c>
      <c r="D4" t="s">
        <v>36</v>
      </c>
      <c r="E4" t="s">
        <v>0</v>
      </c>
      <c r="F4" t="s">
        <v>1</v>
      </c>
      <c r="G4">
        <v>0.93300159999999999</v>
      </c>
      <c r="H4">
        <v>1.65</v>
      </c>
      <c r="I4">
        <v>6.5541669999999996</v>
      </c>
      <c r="J4">
        <v>8.5751080000000002</v>
      </c>
      <c r="K4">
        <v>273.20089999999999</v>
      </c>
      <c r="L4">
        <v>357.90910000000002</v>
      </c>
    </row>
    <row r="5" spans="1:12" x14ac:dyDescent="0.2">
      <c r="A5" s="1">
        <v>42980.471817129626</v>
      </c>
      <c r="B5">
        <v>173.44059999999999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1.65</v>
      </c>
      <c r="I5">
        <v>-4.3440000000000003</v>
      </c>
      <c r="J5">
        <v>8.1528790000000004</v>
      </c>
      <c r="K5">
        <v>271.84769999999997</v>
      </c>
      <c r="L5">
        <v>358.78309999999999</v>
      </c>
    </row>
    <row r="6" spans="1:12" x14ac:dyDescent="0.2">
      <c r="A6" s="1">
        <v>42980.472071759257</v>
      </c>
      <c r="B6">
        <v>194.78139999999999</v>
      </c>
      <c r="C6">
        <v>1</v>
      </c>
      <c r="D6" t="s">
        <v>35</v>
      </c>
      <c r="E6" t="s">
        <v>2</v>
      </c>
      <c r="F6" t="s">
        <v>0</v>
      </c>
      <c r="G6">
        <v>3.4011450000000001</v>
      </c>
      <c r="H6">
        <v>1.65</v>
      </c>
      <c r="I6">
        <v>-4.2620269999999998</v>
      </c>
      <c r="J6">
        <v>4.7523970000000002</v>
      </c>
      <c r="K6">
        <v>2.4834770000000002</v>
      </c>
      <c r="L6">
        <v>1.610274</v>
      </c>
    </row>
    <row r="7" spans="1:12" x14ac:dyDescent="0.2">
      <c r="A7" s="1">
        <v>42980.472314814811</v>
      </c>
      <c r="B7">
        <v>215.9042</v>
      </c>
      <c r="C7">
        <v>1</v>
      </c>
      <c r="D7" t="s">
        <v>36</v>
      </c>
      <c r="E7" t="s">
        <v>2</v>
      </c>
      <c r="F7" t="s">
        <v>0</v>
      </c>
      <c r="G7">
        <v>-4.2946799999999996</v>
      </c>
      <c r="H7">
        <v>1.65</v>
      </c>
      <c r="I7">
        <v>-2.2840479999999999</v>
      </c>
      <c r="J7">
        <v>6.4352460000000002</v>
      </c>
      <c r="K7">
        <v>194.12389999999999</v>
      </c>
      <c r="L7">
        <v>357.82670000000002</v>
      </c>
    </row>
    <row r="8" spans="1:12" x14ac:dyDescent="0.2">
      <c r="A8" s="1">
        <v>42980.472395833334</v>
      </c>
      <c r="B8">
        <v>223.2517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1.65</v>
      </c>
      <c r="I8">
        <v>1.8169999999999999</v>
      </c>
      <c r="J8">
        <v>7.0485670000000002</v>
      </c>
      <c r="K8">
        <v>191.15129999999999</v>
      </c>
      <c r="L8">
        <v>359.16820000000001</v>
      </c>
    </row>
    <row r="9" spans="1:12" x14ac:dyDescent="0.2">
      <c r="A9" s="1">
        <v>42980.472673611112</v>
      </c>
      <c r="B9">
        <v>247.08500000000001</v>
      </c>
      <c r="C9">
        <v>2</v>
      </c>
      <c r="D9" t="s">
        <v>35</v>
      </c>
      <c r="E9" t="s">
        <v>3</v>
      </c>
      <c r="F9" t="s">
        <v>4</v>
      </c>
      <c r="G9">
        <v>3.5497990000000001</v>
      </c>
      <c r="H9">
        <v>1.65</v>
      </c>
      <c r="I9">
        <v>2.0301010000000002</v>
      </c>
      <c r="J9">
        <v>7.6358110000000003</v>
      </c>
      <c r="K9">
        <v>260.11590000000001</v>
      </c>
      <c r="L9">
        <v>359.858</v>
      </c>
    </row>
    <row r="10" spans="1:12" x14ac:dyDescent="0.2">
      <c r="A10" s="1">
        <v>42980.472858796296</v>
      </c>
      <c r="B10">
        <v>262.90219999999999</v>
      </c>
      <c r="C10">
        <v>2</v>
      </c>
      <c r="D10" t="s">
        <v>36</v>
      </c>
      <c r="E10" t="s">
        <v>3</v>
      </c>
      <c r="F10" t="s">
        <v>4</v>
      </c>
      <c r="G10">
        <v>9.0702350000000003</v>
      </c>
      <c r="H10">
        <v>1.65</v>
      </c>
      <c r="I10">
        <v>-0.12892809999999999</v>
      </c>
      <c r="J10">
        <v>10.923220000000001</v>
      </c>
      <c r="K10">
        <v>20.682379999999998</v>
      </c>
      <c r="L10">
        <v>356.97550000000001</v>
      </c>
    </row>
    <row r="11" spans="1:12" x14ac:dyDescent="0.2">
      <c r="A11" s="1">
        <v>42980.472893518519</v>
      </c>
      <c r="B11">
        <v>266.33350000000002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1.65</v>
      </c>
      <c r="I11">
        <v>4.1399999999999997</v>
      </c>
      <c r="J11">
        <v>9.0229850000000003</v>
      </c>
      <c r="K11">
        <v>15.8477</v>
      </c>
      <c r="L11">
        <v>359.42290000000003</v>
      </c>
    </row>
    <row r="12" spans="1:12" x14ac:dyDescent="0.2">
      <c r="A12" s="1">
        <v>42980.473229166666</v>
      </c>
      <c r="B12">
        <v>295.04039999999998</v>
      </c>
      <c r="C12">
        <v>3</v>
      </c>
      <c r="D12" t="s">
        <v>35</v>
      </c>
      <c r="E12" t="s">
        <v>1</v>
      </c>
      <c r="F12" t="s">
        <v>5</v>
      </c>
      <c r="G12">
        <v>-3.948982</v>
      </c>
      <c r="H12">
        <v>1.65</v>
      </c>
      <c r="I12">
        <v>4.0625730000000004</v>
      </c>
      <c r="J12">
        <v>2.1058219999999999</v>
      </c>
      <c r="K12">
        <v>355.35739999999998</v>
      </c>
      <c r="L12">
        <v>1.1958059999999999</v>
      </c>
    </row>
    <row r="13" spans="1:12" x14ac:dyDescent="0.2">
      <c r="A13" s="1">
        <v>42980.473530092589</v>
      </c>
      <c r="B13">
        <v>321.55430000000001</v>
      </c>
      <c r="C13">
        <v>3</v>
      </c>
      <c r="D13" t="s">
        <v>36</v>
      </c>
      <c r="E13" t="s">
        <v>1</v>
      </c>
      <c r="F13" t="s">
        <v>5</v>
      </c>
      <c r="G13">
        <v>-1.7588429999999999</v>
      </c>
      <c r="H13">
        <v>1.65</v>
      </c>
      <c r="I13">
        <v>-6.5791890000000004</v>
      </c>
      <c r="J13">
        <v>5.228326</v>
      </c>
      <c r="K13">
        <v>77.417479999999998</v>
      </c>
      <c r="L13">
        <v>359.67200000000003</v>
      </c>
    </row>
    <row r="14" spans="1:12" x14ac:dyDescent="0.2">
      <c r="A14" s="1">
        <v>42980.473564814813</v>
      </c>
      <c r="B14">
        <v>324.3664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1.65</v>
      </c>
      <c r="I14">
        <v>-0.67300000000000004</v>
      </c>
      <c r="J14">
        <v>7.5482259999999997</v>
      </c>
      <c r="K14">
        <v>74.265180000000001</v>
      </c>
      <c r="L14">
        <v>359.0838</v>
      </c>
    </row>
    <row r="15" spans="1:12" x14ac:dyDescent="0.2">
      <c r="A15" s="1">
        <v>42980.473749999997</v>
      </c>
      <c r="B15">
        <v>339.9665</v>
      </c>
      <c r="C15">
        <v>4</v>
      </c>
      <c r="D15" t="s">
        <v>35</v>
      </c>
      <c r="E15" t="s">
        <v>4</v>
      </c>
      <c r="F15" t="s">
        <v>6</v>
      </c>
      <c r="G15">
        <v>3.8356970000000001</v>
      </c>
      <c r="H15">
        <v>1.65</v>
      </c>
      <c r="I15">
        <v>-0.67001069999999996</v>
      </c>
      <c r="J15">
        <v>9.2987420000000007</v>
      </c>
      <c r="K15">
        <v>180.45429999999999</v>
      </c>
      <c r="L15">
        <v>1.5804119999999999</v>
      </c>
    </row>
    <row r="16" spans="1:12" x14ac:dyDescent="0.2">
      <c r="A16" s="1">
        <v>42980.473935185182</v>
      </c>
      <c r="B16">
        <v>356.38670000000002</v>
      </c>
      <c r="C16">
        <v>4</v>
      </c>
      <c r="D16" t="s">
        <v>36</v>
      </c>
      <c r="E16" t="s">
        <v>4</v>
      </c>
      <c r="F16" t="s">
        <v>6</v>
      </c>
      <c r="G16">
        <v>-9.0736749999999997</v>
      </c>
      <c r="H16">
        <v>1.65</v>
      </c>
      <c r="I16">
        <v>7.2809530000000002</v>
      </c>
      <c r="J16">
        <v>358.16570000000002</v>
      </c>
      <c r="K16">
        <v>215.62209999999999</v>
      </c>
      <c r="L16">
        <v>359.17340000000002</v>
      </c>
    </row>
    <row r="17" spans="1:12" x14ac:dyDescent="0.2">
      <c r="A17" s="1">
        <v>42980.474004629628</v>
      </c>
      <c r="B17">
        <v>362.12819999999999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1.65</v>
      </c>
      <c r="I17">
        <v>-4.117</v>
      </c>
      <c r="J17">
        <v>2.5222549999999999</v>
      </c>
      <c r="K17">
        <v>213.4144</v>
      </c>
      <c r="L17">
        <v>358.8689</v>
      </c>
    </row>
    <row r="18" spans="1:12" x14ac:dyDescent="0.2">
      <c r="A18" s="1">
        <v>42980.474074074074</v>
      </c>
      <c r="B18">
        <v>368.6395</v>
      </c>
      <c r="C18">
        <v>5</v>
      </c>
      <c r="D18" t="s">
        <v>35</v>
      </c>
      <c r="E18" t="s">
        <v>0</v>
      </c>
      <c r="F18" t="s">
        <v>1</v>
      </c>
      <c r="G18">
        <v>-0.85823859999999996</v>
      </c>
      <c r="H18">
        <v>1.65</v>
      </c>
      <c r="I18">
        <v>-4.0341509999999996</v>
      </c>
      <c r="J18">
        <v>4.5770720000000003</v>
      </c>
      <c r="K18">
        <v>7.2502110000000002</v>
      </c>
      <c r="L18">
        <v>4.3225910000000001</v>
      </c>
    </row>
    <row r="19" spans="1:12" x14ac:dyDescent="0.2">
      <c r="A19" s="1">
        <v>42980.474305555559</v>
      </c>
      <c r="B19">
        <v>387.70429999999999</v>
      </c>
      <c r="C19">
        <v>5</v>
      </c>
      <c r="D19" t="s">
        <v>36</v>
      </c>
      <c r="E19" t="s">
        <v>0</v>
      </c>
      <c r="F19" t="s">
        <v>1</v>
      </c>
      <c r="G19">
        <v>-2.064765</v>
      </c>
      <c r="H19">
        <v>1.65</v>
      </c>
      <c r="I19">
        <v>9.5294439999999998</v>
      </c>
      <c r="J19">
        <v>6.1346869999999996</v>
      </c>
      <c r="K19">
        <v>268.31439999999998</v>
      </c>
      <c r="L19">
        <v>358.93</v>
      </c>
    </row>
    <row r="20" spans="1:12" x14ac:dyDescent="0.2">
      <c r="A20" s="1">
        <v>42980.474317129629</v>
      </c>
      <c r="B20">
        <v>389.17720000000003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1.65</v>
      </c>
      <c r="I20">
        <v>-1.4059999999999999</v>
      </c>
      <c r="J20">
        <v>5.6212549999999997</v>
      </c>
      <c r="K20">
        <v>267.79430000000002</v>
      </c>
      <c r="L20">
        <v>358.89</v>
      </c>
    </row>
    <row r="21" spans="1:12" x14ac:dyDescent="0.2">
      <c r="A21" s="1">
        <v>42980.474432870367</v>
      </c>
      <c r="B21">
        <v>399.2867</v>
      </c>
      <c r="C21">
        <v>6</v>
      </c>
      <c r="D21" t="s">
        <v>35</v>
      </c>
      <c r="E21" t="s">
        <v>33</v>
      </c>
      <c r="F21" t="s">
        <v>3</v>
      </c>
      <c r="G21">
        <v>-3.9950169999999998</v>
      </c>
      <c r="H21">
        <v>1.65</v>
      </c>
      <c r="I21">
        <v>-1.548219</v>
      </c>
      <c r="J21">
        <v>6.128959</v>
      </c>
      <c r="K21">
        <v>352.38099999999997</v>
      </c>
      <c r="L21">
        <v>0.45947369999999998</v>
      </c>
    </row>
    <row r="22" spans="1:12" x14ac:dyDescent="0.2">
      <c r="A22" s="1">
        <v>42980.474722222221</v>
      </c>
      <c r="B22">
        <v>424.27550000000002</v>
      </c>
      <c r="C22">
        <v>6</v>
      </c>
      <c r="D22" t="s">
        <v>36</v>
      </c>
      <c r="E22" t="s">
        <v>33</v>
      </c>
      <c r="F22" t="s">
        <v>3</v>
      </c>
      <c r="G22">
        <v>-0.56718440000000003</v>
      </c>
      <c r="H22">
        <v>1.65</v>
      </c>
      <c r="I22">
        <v>-9.3523890000000005</v>
      </c>
      <c r="J22">
        <v>5.0145850000000003</v>
      </c>
      <c r="K22">
        <v>64.526359999999997</v>
      </c>
      <c r="L22">
        <v>0.94054780000000004</v>
      </c>
    </row>
    <row r="23" spans="1:12" x14ac:dyDescent="0.2">
      <c r="A23" s="1">
        <v>42980.474745370368</v>
      </c>
      <c r="B23">
        <v>426.0831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1.65</v>
      </c>
      <c r="I23">
        <v>4.1399999999999997</v>
      </c>
      <c r="J23">
        <v>0.18328179999999999</v>
      </c>
      <c r="K23">
        <v>72.419759999999997</v>
      </c>
      <c r="L23">
        <v>359.96440000000001</v>
      </c>
    </row>
    <row r="24" spans="1:12" x14ac:dyDescent="0.2">
      <c r="A24" s="1">
        <v>42980.474965277775</v>
      </c>
      <c r="B24">
        <v>445.3974</v>
      </c>
      <c r="C24">
        <v>7</v>
      </c>
      <c r="D24" t="s">
        <v>35</v>
      </c>
      <c r="E24" t="s">
        <v>1</v>
      </c>
      <c r="F24" t="s">
        <v>5</v>
      </c>
      <c r="G24">
        <v>-3.9659010000000001</v>
      </c>
      <c r="H24">
        <v>1.65</v>
      </c>
      <c r="I24">
        <v>4.1275399999999998</v>
      </c>
      <c r="J24">
        <v>2.814276</v>
      </c>
      <c r="K24">
        <v>5.9854289999999999</v>
      </c>
      <c r="L24">
        <v>359.96769999999998</v>
      </c>
    </row>
    <row r="25" spans="1:12" x14ac:dyDescent="0.2">
      <c r="A25" s="1">
        <v>42980.475185185183</v>
      </c>
      <c r="B25">
        <v>464.61169999999998</v>
      </c>
      <c r="C25">
        <v>7</v>
      </c>
      <c r="D25" t="s">
        <v>36</v>
      </c>
      <c r="E25" t="s">
        <v>1</v>
      </c>
      <c r="F25" t="s">
        <v>5</v>
      </c>
      <c r="G25">
        <v>-5.7373010000000004</v>
      </c>
      <c r="H25">
        <v>1.65</v>
      </c>
      <c r="I25">
        <v>-2.418787</v>
      </c>
      <c r="J25">
        <v>0.85808209999999996</v>
      </c>
      <c r="K25">
        <v>102.7976</v>
      </c>
      <c r="L25">
        <v>357.53879999999998</v>
      </c>
    </row>
    <row r="26" spans="1:12" x14ac:dyDescent="0.2">
      <c r="A26" s="1">
        <v>42980.475219907406</v>
      </c>
      <c r="B26">
        <v>466.83760000000001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1.65</v>
      </c>
      <c r="I26">
        <v>-4.3440000000000003</v>
      </c>
      <c r="J26">
        <v>2.0944600000000002</v>
      </c>
      <c r="K26">
        <v>99.708070000000006</v>
      </c>
      <c r="L26">
        <v>358.3725</v>
      </c>
    </row>
    <row r="27" spans="1:12" x14ac:dyDescent="0.2">
      <c r="A27" s="1">
        <v>42980.475370370368</v>
      </c>
      <c r="B27">
        <v>480.64600000000002</v>
      </c>
      <c r="C27">
        <v>8</v>
      </c>
      <c r="D27" t="s">
        <v>35</v>
      </c>
      <c r="E27" t="s">
        <v>2</v>
      </c>
      <c r="F27" t="s">
        <v>0</v>
      </c>
      <c r="G27">
        <v>3.4559090000000001</v>
      </c>
      <c r="H27">
        <v>1.65</v>
      </c>
      <c r="I27">
        <v>-4.2231509999999997</v>
      </c>
      <c r="J27">
        <v>3.8250039999999998</v>
      </c>
      <c r="K27">
        <v>10.35819</v>
      </c>
      <c r="L27">
        <v>359.24459999999999</v>
      </c>
    </row>
    <row r="28" spans="1:12" x14ac:dyDescent="0.2">
      <c r="A28" s="1">
        <v>42980.47550925926</v>
      </c>
      <c r="B28">
        <v>492.16109999999998</v>
      </c>
      <c r="C28">
        <v>8</v>
      </c>
      <c r="D28" t="s">
        <v>36</v>
      </c>
      <c r="E28" t="s">
        <v>2</v>
      </c>
      <c r="F28" t="s">
        <v>0</v>
      </c>
      <c r="G28">
        <v>-5.0890719999999998</v>
      </c>
      <c r="H28">
        <v>1.65</v>
      </c>
      <c r="I28">
        <v>-3.0198459999999998</v>
      </c>
      <c r="J28">
        <v>357.0915</v>
      </c>
      <c r="K28">
        <v>184.101</v>
      </c>
      <c r="L28">
        <v>357.9486</v>
      </c>
    </row>
    <row r="29" spans="1:12" x14ac:dyDescent="0.2">
      <c r="A29" s="1">
        <v>42980.47552083333</v>
      </c>
      <c r="B29">
        <v>493.18209999999999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1.65</v>
      </c>
      <c r="I29">
        <v>-1.4059999999999999</v>
      </c>
      <c r="J29">
        <v>2.0699930000000002</v>
      </c>
      <c r="K29">
        <v>181.24090000000001</v>
      </c>
      <c r="L29">
        <v>358.9008</v>
      </c>
    </row>
    <row r="30" spans="1:12" x14ac:dyDescent="0.2">
      <c r="A30" s="1">
        <v>42980.475624999999</v>
      </c>
      <c r="B30">
        <v>502.2362</v>
      </c>
      <c r="C30">
        <v>9</v>
      </c>
      <c r="D30" t="s">
        <v>35</v>
      </c>
      <c r="E30" t="s">
        <v>33</v>
      </c>
      <c r="F30" t="s">
        <v>3</v>
      </c>
      <c r="G30">
        <v>-4.0643370000000001</v>
      </c>
      <c r="H30">
        <v>1.65</v>
      </c>
      <c r="I30">
        <v>-1.153661</v>
      </c>
      <c r="J30">
        <v>3.8943979999999998</v>
      </c>
      <c r="K30">
        <v>350.38619999999997</v>
      </c>
      <c r="L30">
        <v>2.7205569999999999</v>
      </c>
    </row>
    <row r="31" spans="1:12" x14ac:dyDescent="0.2">
      <c r="A31" s="1">
        <v>42980.47583333333</v>
      </c>
      <c r="B31">
        <v>519.8193</v>
      </c>
      <c r="C31">
        <v>9</v>
      </c>
      <c r="D31" t="s">
        <v>36</v>
      </c>
      <c r="E31" t="s">
        <v>33</v>
      </c>
      <c r="F31" t="s">
        <v>3</v>
      </c>
      <c r="G31">
        <v>2.6464080000000001</v>
      </c>
      <c r="H31">
        <v>1.65</v>
      </c>
      <c r="I31">
        <v>4.7007300000000001</v>
      </c>
      <c r="J31">
        <v>4.9846630000000003</v>
      </c>
      <c r="K31">
        <v>319.0831</v>
      </c>
      <c r="L31">
        <v>358.79640000000001</v>
      </c>
    </row>
    <row r="32" spans="1:12" x14ac:dyDescent="0.2">
      <c r="A32" s="1">
        <v>42980.475868055553</v>
      </c>
      <c r="B32">
        <v>523.6857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1.65</v>
      </c>
      <c r="I32">
        <v>2.7240000000000002</v>
      </c>
      <c r="J32">
        <v>1.3600179999999999</v>
      </c>
      <c r="K32">
        <v>319.07830000000001</v>
      </c>
      <c r="L32">
        <v>359.27330000000001</v>
      </c>
    </row>
    <row r="33" spans="1:12" x14ac:dyDescent="0.2">
      <c r="A33" s="1">
        <v>42980.475972222222</v>
      </c>
      <c r="B33">
        <v>532.10469999999998</v>
      </c>
      <c r="C33">
        <v>10</v>
      </c>
      <c r="D33" t="s">
        <v>35</v>
      </c>
      <c r="E33" t="s">
        <v>5</v>
      </c>
      <c r="F33" t="s">
        <v>2</v>
      </c>
      <c r="G33">
        <v>0.1134887</v>
      </c>
      <c r="H33">
        <v>1.65</v>
      </c>
      <c r="I33">
        <v>2.401078</v>
      </c>
      <c r="J33">
        <v>7.4130260000000003</v>
      </c>
      <c r="K33">
        <v>354.1841</v>
      </c>
      <c r="L33">
        <v>359.26179999999999</v>
      </c>
    </row>
    <row r="34" spans="1:12" x14ac:dyDescent="0.2">
      <c r="A34" s="1">
        <v>42980.476087962961</v>
      </c>
      <c r="B34">
        <v>542.2319</v>
      </c>
      <c r="C34">
        <v>10</v>
      </c>
      <c r="D34" t="s">
        <v>36</v>
      </c>
      <c r="E34" t="s">
        <v>5</v>
      </c>
      <c r="F34" t="s">
        <v>2</v>
      </c>
      <c r="G34">
        <v>-0.98252980000000001</v>
      </c>
      <c r="H34">
        <v>1.65</v>
      </c>
      <c r="I34">
        <v>-4.6331769999999999</v>
      </c>
      <c r="J34">
        <v>7.5845029999999998</v>
      </c>
      <c r="K34">
        <v>100.18470000000001</v>
      </c>
      <c r="L34">
        <v>358.6463</v>
      </c>
    </row>
    <row r="35" spans="1:12" x14ac:dyDescent="0.2">
      <c r="A35" s="1">
        <v>42980.476099537038</v>
      </c>
      <c r="B35">
        <v>543.43700000000001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1.65</v>
      </c>
      <c r="I35">
        <v>-4.117</v>
      </c>
      <c r="J35">
        <v>8.4710789999999996</v>
      </c>
      <c r="K35">
        <v>95.341130000000007</v>
      </c>
      <c r="L35">
        <v>358.8236</v>
      </c>
    </row>
    <row r="36" spans="1:12" x14ac:dyDescent="0.2">
      <c r="A36" s="1">
        <v>42980.47619212963</v>
      </c>
      <c r="B36">
        <v>550.85140000000001</v>
      </c>
      <c r="C36">
        <v>11</v>
      </c>
      <c r="D36" t="s">
        <v>35</v>
      </c>
      <c r="E36" t="s">
        <v>0</v>
      </c>
      <c r="F36" t="s">
        <v>1</v>
      </c>
      <c r="G36">
        <v>-0.30486600000000003</v>
      </c>
      <c r="H36">
        <v>1.65</v>
      </c>
      <c r="I36">
        <v>-4.0891679999999999</v>
      </c>
      <c r="J36">
        <v>3.8301759999999998</v>
      </c>
      <c r="K36">
        <v>7.4816669999999998</v>
      </c>
      <c r="L36">
        <v>358.0548</v>
      </c>
    </row>
    <row r="37" spans="1:12" x14ac:dyDescent="0.2">
      <c r="A37" s="1">
        <v>42980.476377314815</v>
      </c>
      <c r="B37">
        <v>567.03639999999996</v>
      </c>
      <c r="C37">
        <v>11</v>
      </c>
      <c r="D37" t="s">
        <v>36</v>
      </c>
      <c r="E37" t="s">
        <v>0</v>
      </c>
      <c r="F37" t="s">
        <v>1</v>
      </c>
      <c r="G37">
        <v>-2.0567989999999998</v>
      </c>
      <c r="H37">
        <v>1.65</v>
      </c>
      <c r="I37">
        <v>4.2445110000000001</v>
      </c>
      <c r="J37">
        <v>358.00319999999999</v>
      </c>
      <c r="K37">
        <v>259.13740000000001</v>
      </c>
      <c r="L37">
        <v>356.89100000000002</v>
      </c>
    </row>
    <row r="38" spans="1:12" x14ac:dyDescent="0.2">
      <c r="A38" s="1">
        <v>42980.477581018517</v>
      </c>
      <c r="B38">
        <v>591.00909999999999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1.65</v>
      </c>
      <c r="I38">
        <v>1.8169999999999999</v>
      </c>
      <c r="J38">
        <v>10.439909999999999</v>
      </c>
      <c r="K38">
        <v>348.50889999999998</v>
      </c>
      <c r="L38">
        <v>358.01069999999999</v>
      </c>
    </row>
    <row r="39" spans="1:12" x14ac:dyDescent="0.2">
      <c r="A39" s="1">
        <v>42980.477638888886</v>
      </c>
      <c r="B39">
        <v>596.61609999999996</v>
      </c>
      <c r="C39">
        <v>12</v>
      </c>
      <c r="D39" t="s">
        <v>35</v>
      </c>
      <c r="E39" t="s">
        <v>3</v>
      </c>
      <c r="F39" t="s">
        <v>4</v>
      </c>
      <c r="G39">
        <v>3.2972920000000001</v>
      </c>
      <c r="H39">
        <v>1.65</v>
      </c>
      <c r="I39">
        <v>1.868493</v>
      </c>
      <c r="J39">
        <v>5.5120649999999998</v>
      </c>
      <c r="K39">
        <v>271.96190000000001</v>
      </c>
      <c r="L39">
        <v>358.99169999999998</v>
      </c>
    </row>
    <row r="40" spans="1:12" x14ac:dyDescent="0.2">
      <c r="A40" s="1">
        <v>42980.477766203701</v>
      </c>
      <c r="B40">
        <v>607.06089999999995</v>
      </c>
      <c r="C40">
        <v>12</v>
      </c>
      <c r="D40" t="s">
        <v>36</v>
      </c>
      <c r="E40" t="s">
        <v>3</v>
      </c>
      <c r="F40" t="s">
        <v>4</v>
      </c>
      <c r="G40">
        <v>11.2074</v>
      </c>
      <c r="H40">
        <v>1.65</v>
      </c>
      <c r="I40">
        <v>-1.055579</v>
      </c>
      <c r="J40">
        <v>0.91640140000000003</v>
      </c>
      <c r="K40">
        <v>17.822369999999999</v>
      </c>
      <c r="L40">
        <v>357.22199999999998</v>
      </c>
    </row>
    <row r="41" spans="1:12" x14ac:dyDescent="0.2">
      <c r="A41" s="1">
        <v>42980.477777777778</v>
      </c>
      <c r="B41">
        <v>608.38310000000001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1.65</v>
      </c>
      <c r="I41">
        <v>-1.4059999999999999</v>
      </c>
      <c r="J41">
        <v>5.1915529999999999</v>
      </c>
      <c r="K41">
        <v>16.458960000000001</v>
      </c>
      <c r="L41">
        <v>357.40429999999998</v>
      </c>
    </row>
    <row r="42" spans="1:12" x14ac:dyDescent="0.2">
      <c r="A42" s="1">
        <v>42980.477835648147</v>
      </c>
      <c r="B42">
        <v>613.50630000000001</v>
      </c>
      <c r="C42">
        <v>13</v>
      </c>
      <c r="D42" t="s">
        <v>35</v>
      </c>
      <c r="E42" t="s">
        <v>33</v>
      </c>
      <c r="F42" t="s">
        <v>3</v>
      </c>
      <c r="G42">
        <v>-3.9809999999999999</v>
      </c>
      <c r="H42">
        <v>1.65</v>
      </c>
      <c r="I42">
        <v>-1.4059999999999999</v>
      </c>
      <c r="J42">
        <v>4.0585930000000001</v>
      </c>
      <c r="K42">
        <v>2.1528</v>
      </c>
      <c r="L42">
        <v>358.86869999999999</v>
      </c>
    </row>
    <row r="43" spans="1:12" x14ac:dyDescent="0.2">
      <c r="A43" s="1">
        <v>42980.478067129632</v>
      </c>
      <c r="B43">
        <v>633.92510000000004</v>
      </c>
      <c r="C43">
        <v>13</v>
      </c>
      <c r="D43" t="s">
        <v>36</v>
      </c>
      <c r="E43" t="s">
        <v>33</v>
      </c>
      <c r="F43" t="s">
        <v>3</v>
      </c>
      <c r="G43">
        <v>4.0488160000000004</v>
      </c>
      <c r="H43">
        <v>1.65</v>
      </c>
      <c r="I43">
        <v>-9.9874100000000006</v>
      </c>
      <c r="J43">
        <v>355.82799999999997</v>
      </c>
      <c r="K43">
        <v>46.015819999999998</v>
      </c>
      <c r="L43">
        <v>358.14420000000001</v>
      </c>
    </row>
    <row r="44" spans="1:12" x14ac:dyDescent="0.2">
      <c r="A44" s="1">
        <v>42980.478090277778</v>
      </c>
      <c r="B44">
        <v>635.02970000000005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1.65</v>
      </c>
      <c r="I44">
        <v>2.7240000000000002</v>
      </c>
      <c r="J44">
        <v>358.18630000000002</v>
      </c>
      <c r="K44">
        <v>45.050609999999999</v>
      </c>
      <c r="L44">
        <v>358.16329999999999</v>
      </c>
    </row>
    <row r="45" spans="1:12" x14ac:dyDescent="0.2">
      <c r="A45" s="1">
        <v>42980.478171296294</v>
      </c>
      <c r="B45">
        <v>642.2097</v>
      </c>
      <c r="C45">
        <v>14</v>
      </c>
      <c r="D45" t="s">
        <v>35</v>
      </c>
      <c r="E45" t="s">
        <v>5</v>
      </c>
      <c r="F45" t="s">
        <v>2</v>
      </c>
      <c r="G45">
        <v>4.0847979999999999E-2</v>
      </c>
      <c r="H45">
        <v>1.65</v>
      </c>
      <c r="I45">
        <v>2.68791</v>
      </c>
      <c r="J45">
        <v>2.7440220000000002</v>
      </c>
      <c r="K45">
        <v>5.1333580000000003</v>
      </c>
      <c r="L45">
        <v>358.29649999999998</v>
      </c>
    </row>
    <row r="46" spans="1:12" x14ac:dyDescent="0.2">
      <c r="A46" s="1">
        <v>42980.478356481479</v>
      </c>
      <c r="B46">
        <v>658.0598</v>
      </c>
      <c r="C46">
        <v>14</v>
      </c>
      <c r="D46" t="s">
        <v>36</v>
      </c>
      <c r="E46" t="s">
        <v>5</v>
      </c>
      <c r="F46" t="s">
        <v>2</v>
      </c>
      <c r="G46">
        <v>2.9154450000000001</v>
      </c>
      <c r="H46">
        <v>1.65</v>
      </c>
      <c r="I46">
        <v>-0.76840379999999997</v>
      </c>
      <c r="J46">
        <v>9.1521699999999997E-2</v>
      </c>
      <c r="K46">
        <v>46.671140000000001</v>
      </c>
      <c r="L46">
        <v>358.54520000000002</v>
      </c>
    </row>
    <row r="47" spans="1:12" x14ac:dyDescent="0.2">
      <c r="A47" s="1">
        <v>42980.478368055556</v>
      </c>
      <c r="B47">
        <v>659.06410000000005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1.65</v>
      </c>
      <c r="I47">
        <v>0.09</v>
      </c>
      <c r="J47">
        <v>2.0396519999999998</v>
      </c>
      <c r="K47">
        <v>43.111690000000003</v>
      </c>
      <c r="L47">
        <v>357.34440000000001</v>
      </c>
    </row>
    <row r="48" spans="1:12" x14ac:dyDescent="0.2">
      <c r="A48" s="1">
        <v>42980.478449074071</v>
      </c>
      <c r="B48">
        <v>666.02679999999998</v>
      </c>
      <c r="C48">
        <v>15</v>
      </c>
      <c r="D48" t="s">
        <v>35</v>
      </c>
      <c r="E48" t="s">
        <v>6</v>
      </c>
      <c r="F48" t="s">
        <v>33</v>
      </c>
      <c r="G48">
        <v>-4.1477259999999996</v>
      </c>
      <c r="H48">
        <v>1.65</v>
      </c>
      <c r="I48">
        <v>0.2045688</v>
      </c>
      <c r="J48">
        <v>3.2486229999999998</v>
      </c>
      <c r="K48">
        <v>7.329904</v>
      </c>
      <c r="L48">
        <v>358.49540000000002</v>
      </c>
    </row>
    <row r="49" spans="1:12" x14ac:dyDescent="0.2">
      <c r="A49" s="1">
        <v>42980.47861111111</v>
      </c>
      <c r="B49">
        <v>680.4203</v>
      </c>
      <c r="C49">
        <v>15</v>
      </c>
      <c r="D49" t="s">
        <v>36</v>
      </c>
      <c r="E49" t="s">
        <v>6</v>
      </c>
      <c r="F49" t="s">
        <v>33</v>
      </c>
      <c r="G49">
        <v>-7.8584379999999996</v>
      </c>
      <c r="H49">
        <v>1.65</v>
      </c>
      <c r="I49">
        <v>-9.8943600000000007</v>
      </c>
      <c r="J49">
        <v>5.6802450000000002</v>
      </c>
      <c r="K49">
        <v>103.4669</v>
      </c>
      <c r="L49">
        <v>359.27679999999998</v>
      </c>
    </row>
    <row r="50" spans="1:12" x14ac:dyDescent="0.2">
      <c r="A50" s="1">
        <v>42980.478622685187</v>
      </c>
      <c r="B50">
        <v>681.55849999999998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1.65</v>
      </c>
      <c r="I50">
        <v>-0.67300000000000004</v>
      </c>
      <c r="J50">
        <v>5.2962420000000003</v>
      </c>
      <c r="K50">
        <v>101.18429999999999</v>
      </c>
      <c r="L50">
        <v>359.37819999999999</v>
      </c>
    </row>
    <row r="51" spans="1:12" x14ac:dyDescent="0.2">
      <c r="A51" s="1">
        <v>42980.478703703702</v>
      </c>
      <c r="B51">
        <v>688.38720000000001</v>
      </c>
      <c r="C51">
        <v>16</v>
      </c>
      <c r="D51" t="s">
        <v>35</v>
      </c>
      <c r="E51" t="s">
        <v>4</v>
      </c>
      <c r="F51" t="s">
        <v>6</v>
      </c>
      <c r="G51">
        <v>3.6418020000000002</v>
      </c>
      <c r="H51">
        <v>1.65</v>
      </c>
      <c r="I51">
        <v>-0.52025239999999995</v>
      </c>
      <c r="J51">
        <v>1.7107270000000001</v>
      </c>
      <c r="K51">
        <v>6.5427739999999996</v>
      </c>
      <c r="L51">
        <v>359.0403</v>
      </c>
    </row>
    <row r="52" spans="1:12" x14ac:dyDescent="0.2">
      <c r="A52" s="1">
        <v>42980.478946759256</v>
      </c>
      <c r="B52">
        <v>709.60879999999997</v>
      </c>
      <c r="C52">
        <v>16</v>
      </c>
      <c r="D52" t="s">
        <v>36</v>
      </c>
      <c r="E52" t="s">
        <v>4</v>
      </c>
      <c r="F52" t="s">
        <v>6</v>
      </c>
      <c r="G52">
        <v>-5.5818459999999996</v>
      </c>
      <c r="H52">
        <v>1.65</v>
      </c>
      <c r="I52">
        <v>4.5178209999999996</v>
      </c>
      <c r="J52">
        <v>3.9073829999999998</v>
      </c>
      <c r="K52">
        <v>185.4846</v>
      </c>
      <c r="L52">
        <v>356.96269999999998</v>
      </c>
    </row>
    <row r="53" spans="1:12" x14ac:dyDescent="0.2">
      <c r="A53" s="1">
        <v>42980.47896990741</v>
      </c>
      <c r="B53">
        <v>711.11509999999998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1.65</v>
      </c>
      <c r="I53">
        <v>1.8169999999999999</v>
      </c>
      <c r="J53">
        <v>3.6807750000000001</v>
      </c>
      <c r="K53">
        <v>188.45169999999999</v>
      </c>
      <c r="L53">
        <v>358.06900000000002</v>
      </c>
    </row>
    <row r="54" spans="1:12" x14ac:dyDescent="0.2">
      <c r="A54" s="1">
        <v>42980.479004629633</v>
      </c>
      <c r="B54">
        <v>714.32860000000005</v>
      </c>
      <c r="C54">
        <v>17</v>
      </c>
      <c r="D54" t="s">
        <v>35</v>
      </c>
      <c r="E54" t="s">
        <v>3</v>
      </c>
      <c r="F54" t="s">
        <v>4</v>
      </c>
      <c r="G54">
        <v>3.357869</v>
      </c>
      <c r="H54">
        <v>1.65</v>
      </c>
      <c r="I54">
        <v>2.0223390000000001</v>
      </c>
      <c r="J54">
        <v>6.1141059999999996</v>
      </c>
      <c r="K54">
        <v>276.803</v>
      </c>
      <c r="L54">
        <v>358.19830000000002</v>
      </c>
    </row>
    <row r="55" spans="1:12" x14ac:dyDescent="0.2">
      <c r="A55" s="1">
        <v>42980.479120370372</v>
      </c>
      <c r="B55">
        <v>724.8057</v>
      </c>
      <c r="C55">
        <v>17</v>
      </c>
      <c r="D55" t="s">
        <v>36</v>
      </c>
      <c r="E55" t="s">
        <v>3</v>
      </c>
      <c r="F55" t="s">
        <v>4</v>
      </c>
      <c r="G55">
        <v>9.8078109999999992</v>
      </c>
      <c r="H55">
        <v>1.65</v>
      </c>
      <c r="I55">
        <v>-0.91410860000000005</v>
      </c>
      <c r="J55">
        <v>359.97160000000002</v>
      </c>
      <c r="K55">
        <v>23.93018</v>
      </c>
      <c r="L55">
        <v>358.74090000000001</v>
      </c>
    </row>
    <row r="56" spans="1:12" x14ac:dyDescent="0.2">
      <c r="A56" s="1">
        <v>42980.479131944441</v>
      </c>
      <c r="B56">
        <v>725.91020000000003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1.65</v>
      </c>
      <c r="I56">
        <v>-4.3440000000000003</v>
      </c>
      <c r="J56">
        <v>1.806959</v>
      </c>
      <c r="K56">
        <v>24.5702</v>
      </c>
      <c r="L56">
        <v>358.55549999999999</v>
      </c>
    </row>
    <row r="57" spans="1:12" x14ac:dyDescent="0.2">
      <c r="A57" s="1">
        <v>42980.47923611111</v>
      </c>
      <c r="B57">
        <v>734.67960000000005</v>
      </c>
      <c r="C57">
        <v>18</v>
      </c>
      <c r="D57" t="s">
        <v>35</v>
      </c>
      <c r="E57" t="s">
        <v>2</v>
      </c>
      <c r="F57" t="s">
        <v>0</v>
      </c>
      <c r="G57">
        <v>3.5410180000000002</v>
      </c>
      <c r="H57">
        <v>1.65</v>
      </c>
      <c r="I57">
        <v>-4.345834</v>
      </c>
      <c r="J57">
        <v>4.3229819999999997</v>
      </c>
      <c r="K57">
        <v>354.08120000000002</v>
      </c>
      <c r="L57">
        <v>0.20078679999999999</v>
      </c>
    </row>
    <row r="58" spans="1:12" x14ac:dyDescent="0.2">
      <c r="A58" s="1">
        <v>42980.479386574072</v>
      </c>
      <c r="B58">
        <v>747.75030000000004</v>
      </c>
      <c r="C58">
        <v>18</v>
      </c>
      <c r="D58" t="s">
        <v>36</v>
      </c>
      <c r="E58" t="s">
        <v>2</v>
      </c>
      <c r="F58" t="s">
        <v>0</v>
      </c>
      <c r="G58">
        <v>-6.6771529999999997</v>
      </c>
      <c r="H58">
        <v>1.65</v>
      </c>
      <c r="I58">
        <v>-5.5093670000000001</v>
      </c>
      <c r="J58">
        <v>1.6512199999999999</v>
      </c>
      <c r="K58">
        <v>166.1944</v>
      </c>
      <c r="L58">
        <v>357.11020000000002</v>
      </c>
    </row>
    <row r="59" spans="1:12" x14ac:dyDescent="0.2">
      <c r="A59" s="1">
        <v>42980.479409722226</v>
      </c>
      <c r="B59">
        <v>749.05579999999998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1.65</v>
      </c>
      <c r="I59">
        <v>-0.67300000000000004</v>
      </c>
      <c r="J59">
        <v>5.4105210000000001</v>
      </c>
      <c r="K59">
        <v>165.3048</v>
      </c>
      <c r="L59">
        <v>358.62909999999999</v>
      </c>
    </row>
    <row r="60" spans="1:12" x14ac:dyDescent="0.2">
      <c r="A60" s="1">
        <v>42980.479444444441</v>
      </c>
      <c r="B60">
        <v>752.38620000000003</v>
      </c>
      <c r="C60">
        <v>19</v>
      </c>
      <c r="D60" t="s">
        <v>35</v>
      </c>
      <c r="E60" t="s">
        <v>4</v>
      </c>
      <c r="F60" t="s">
        <v>6</v>
      </c>
      <c r="G60">
        <v>3.9180000000000001</v>
      </c>
      <c r="H60">
        <v>1.65</v>
      </c>
      <c r="I60">
        <v>-0.67300000000000004</v>
      </c>
      <c r="J60">
        <v>11.54588</v>
      </c>
      <c r="K60">
        <v>182.56290000000001</v>
      </c>
      <c r="L60">
        <v>356.81380000000001</v>
      </c>
    </row>
    <row r="61" spans="1:12" x14ac:dyDescent="0.2">
      <c r="A61" s="1">
        <v>42980.479594907411</v>
      </c>
      <c r="B61">
        <v>765.69119999999998</v>
      </c>
      <c r="C61">
        <v>19</v>
      </c>
      <c r="D61" t="s">
        <v>36</v>
      </c>
      <c r="E61" t="s">
        <v>4</v>
      </c>
      <c r="F61" t="s">
        <v>6</v>
      </c>
      <c r="G61">
        <v>-11.66084</v>
      </c>
      <c r="H61">
        <v>1.65</v>
      </c>
      <c r="I61">
        <v>2.1165210000000001</v>
      </c>
      <c r="J61">
        <v>4.3448140000000004</v>
      </c>
      <c r="K61">
        <v>176.47049999999999</v>
      </c>
      <c r="L61">
        <v>357.65640000000002</v>
      </c>
    </row>
    <row r="62" spans="1:12" x14ac:dyDescent="0.2">
      <c r="A62" s="1">
        <v>42980.47960648148</v>
      </c>
      <c r="B62">
        <v>766.71199999999999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1.65</v>
      </c>
      <c r="I62">
        <v>-1.4059999999999999</v>
      </c>
      <c r="J62">
        <v>5.5724429999999998</v>
      </c>
      <c r="K62">
        <v>176.2611</v>
      </c>
      <c r="L62">
        <v>357.45949999999999</v>
      </c>
    </row>
    <row r="63" spans="1:12" x14ac:dyDescent="0.2">
      <c r="A63" s="1">
        <v>42980.479675925926</v>
      </c>
      <c r="B63">
        <v>772.53620000000001</v>
      </c>
      <c r="C63">
        <v>20</v>
      </c>
      <c r="D63" t="s">
        <v>35</v>
      </c>
      <c r="E63" t="s">
        <v>33</v>
      </c>
      <c r="F63" t="s">
        <v>3</v>
      </c>
      <c r="G63">
        <v>-3.9809999999999999</v>
      </c>
      <c r="H63">
        <v>1.65</v>
      </c>
      <c r="I63">
        <v>-1.4059999999999999</v>
      </c>
      <c r="J63">
        <v>6.8811349999999996</v>
      </c>
      <c r="K63">
        <v>169.40969999999999</v>
      </c>
      <c r="L63">
        <v>358.89580000000001</v>
      </c>
    </row>
    <row r="64" spans="1:12" x14ac:dyDescent="0.2">
      <c r="A64" s="1">
        <v>42980.479895833334</v>
      </c>
      <c r="B64">
        <v>790.93</v>
      </c>
      <c r="C64">
        <v>20</v>
      </c>
      <c r="D64" t="s">
        <v>36</v>
      </c>
      <c r="E64" t="s">
        <v>33</v>
      </c>
      <c r="F64" t="s">
        <v>3</v>
      </c>
      <c r="G64">
        <v>11.847910000000001</v>
      </c>
      <c r="H64">
        <v>1.65</v>
      </c>
      <c r="I64">
        <v>-6.6603680000000001</v>
      </c>
      <c r="J64">
        <v>2.1806420000000002</v>
      </c>
      <c r="K64">
        <v>15.57644</v>
      </c>
      <c r="L64">
        <v>357.9348</v>
      </c>
    </row>
    <row r="65" spans="1:12" x14ac:dyDescent="0.2">
      <c r="A65" s="1">
        <v>42980.479907407411</v>
      </c>
      <c r="B65">
        <v>791.95100000000002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1.65</v>
      </c>
      <c r="I65">
        <v>-4.117</v>
      </c>
      <c r="J65">
        <v>3.3897339999999998</v>
      </c>
      <c r="K65">
        <v>9.8886380000000003</v>
      </c>
      <c r="L65">
        <v>357.76209999999998</v>
      </c>
    </row>
    <row r="66" spans="1:12" x14ac:dyDescent="0.2">
      <c r="A66" s="1">
        <v>42980.47997685185</v>
      </c>
      <c r="B66">
        <v>798.29430000000002</v>
      </c>
      <c r="C66">
        <v>21</v>
      </c>
      <c r="D66" t="s">
        <v>35</v>
      </c>
      <c r="E66" t="s">
        <v>0</v>
      </c>
      <c r="F66" t="s">
        <v>1</v>
      </c>
      <c r="G66">
        <v>-0.91507570000000005</v>
      </c>
      <c r="H66">
        <v>1.65</v>
      </c>
      <c r="I66">
        <v>-4.2298419999999997</v>
      </c>
      <c r="J66">
        <v>2.8208839999999999</v>
      </c>
      <c r="K66">
        <v>359.79430000000002</v>
      </c>
      <c r="L66">
        <v>359.45979999999997</v>
      </c>
    </row>
    <row r="67" spans="1:12" x14ac:dyDescent="0.2">
      <c r="A67" s="1">
        <v>42980.480185185188</v>
      </c>
      <c r="B67">
        <v>816.25289999999995</v>
      </c>
      <c r="C67">
        <v>21</v>
      </c>
      <c r="D67" t="s">
        <v>36</v>
      </c>
      <c r="E67" t="s">
        <v>0</v>
      </c>
      <c r="F67" t="s">
        <v>1</v>
      </c>
      <c r="G67">
        <v>-7.9565770000000002</v>
      </c>
      <c r="H67">
        <v>1.65</v>
      </c>
      <c r="I67">
        <v>7.1829219999999996</v>
      </c>
      <c r="J67">
        <v>2.2413820000000002</v>
      </c>
      <c r="K67">
        <v>236.07130000000001</v>
      </c>
      <c r="L67">
        <v>355.05619999999999</v>
      </c>
    </row>
    <row r="68" spans="1:12" x14ac:dyDescent="0.2">
      <c r="A68" s="1">
        <v>42980.480196759258</v>
      </c>
      <c r="B68">
        <v>817.274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1.65</v>
      </c>
      <c r="I68">
        <v>4.1399999999999997</v>
      </c>
      <c r="J68">
        <v>1.699171</v>
      </c>
      <c r="K68">
        <v>235.4828</v>
      </c>
      <c r="L68">
        <v>357.76260000000002</v>
      </c>
    </row>
    <row r="69" spans="1:12" x14ac:dyDescent="0.2">
      <c r="A69" s="1">
        <v>42980.48027777778</v>
      </c>
      <c r="B69">
        <v>824.82169999999996</v>
      </c>
      <c r="C69">
        <v>22</v>
      </c>
      <c r="D69" t="s">
        <v>35</v>
      </c>
      <c r="E69" t="s">
        <v>1</v>
      </c>
      <c r="F69" t="s">
        <v>5</v>
      </c>
      <c r="G69">
        <v>-3.995644</v>
      </c>
      <c r="H69">
        <v>1.65</v>
      </c>
      <c r="I69">
        <v>4.1214040000000001</v>
      </c>
      <c r="J69">
        <v>359.91800000000001</v>
      </c>
      <c r="K69">
        <v>347.64830000000001</v>
      </c>
      <c r="L69">
        <v>358.73070000000001</v>
      </c>
    </row>
    <row r="70" spans="1:12" x14ac:dyDescent="0.2">
      <c r="A70" s="1">
        <v>42980.480428240742</v>
      </c>
      <c r="B70">
        <v>837.71090000000004</v>
      </c>
      <c r="C70">
        <v>22</v>
      </c>
      <c r="D70" t="s">
        <v>36</v>
      </c>
      <c r="E70" t="s">
        <v>1</v>
      </c>
      <c r="F70" t="s">
        <v>5</v>
      </c>
      <c r="G70">
        <v>-0.57042649999999995</v>
      </c>
      <c r="H70">
        <v>1.65</v>
      </c>
      <c r="I70">
        <v>-7.3413839999999997</v>
      </c>
      <c r="J70">
        <v>358.56540000000001</v>
      </c>
      <c r="K70">
        <v>62.154200000000003</v>
      </c>
      <c r="L70">
        <v>355.56279999999998</v>
      </c>
    </row>
    <row r="71" spans="1:12" x14ac:dyDescent="0.2">
      <c r="A71" s="1">
        <v>42980.480451388888</v>
      </c>
      <c r="B71">
        <v>838.88250000000005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1.65</v>
      </c>
      <c r="I71">
        <v>0.09</v>
      </c>
      <c r="J71">
        <v>1.7060230000000001</v>
      </c>
      <c r="K71">
        <v>50.965890000000002</v>
      </c>
      <c r="L71">
        <v>356.52120000000002</v>
      </c>
    </row>
    <row r="72" spans="1:12" x14ac:dyDescent="0.2">
      <c r="A72" s="1">
        <v>42980.480497685188</v>
      </c>
      <c r="B72">
        <v>843.75300000000004</v>
      </c>
      <c r="C72">
        <v>23</v>
      </c>
      <c r="D72" t="s">
        <v>35</v>
      </c>
      <c r="E72" t="s">
        <v>6</v>
      </c>
      <c r="F72" t="s">
        <v>33</v>
      </c>
      <c r="G72">
        <v>-4.0768449999999996</v>
      </c>
      <c r="H72">
        <v>1.65</v>
      </c>
      <c r="I72">
        <v>5.6942069999999997E-2</v>
      </c>
      <c r="J72">
        <v>8.7916690000000006</v>
      </c>
      <c r="K72">
        <v>1.1438280000000001</v>
      </c>
      <c r="L72">
        <v>358.57960000000003</v>
      </c>
    </row>
    <row r="73" spans="1:12" x14ac:dyDescent="0.2">
      <c r="A73" s="1">
        <v>42980.480636574073</v>
      </c>
      <c r="B73">
        <v>854.98440000000005</v>
      </c>
      <c r="C73">
        <v>23</v>
      </c>
      <c r="D73" t="s">
        <v>36</v>
      </c>
      <c r="E73" t="s">
        <v>6</v>
      </c>
      <c r="F73" t="s">
        <v>33</v>
      </c>
      <c r="G73">
        <v>-6.2834269999999997</v>
      </c>
      <c r="H73">
        <v>1.65</v>
      </c>
      <c r="I73">
        <v>-10.23076</v>
      </c>
      <c r="J73">
        <v>358.56259999999997</v>
      </c>
      <c r="K73">
        <v>96.777540000000002</v>
      </c>
      <c r="L73">
        <v>358.55689999999998</v>
      </c>
    </row>
    <row r="74" spans="1:12" x14ac:dyDescent="0.2">
      <c r="A74" s="1">
        <v>42980.48064814815</v>
      </c>
      <c r="B74">
        <v>856.20500000000004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1.65</v>
      </c>
      <c r="I74">
        <v>2.7240000000000002</v>
      </c>
      <c r="J74">
        <v>0.89591580000000004</v>
      </c>
      <c r="K74">
        <v>95.072230000000005</v>
      </c>
      <c r="L74">
        <v>357.21730000000002</v>
      </c>
    </row>
    <row r="75" spans="1:12" x14ac:dyDescent="0.2">
      <c r="A75" s="1">
        <v>42980.480729166666</v>
      </c>
      <c r="B75">
        <v>862.91600000000005</v>
      </c>
      <c r="C75">
        <v>24</v>
      </c>
      <c r="D75" t="s">
        <v>35</v>
      </c>
      <c r="E75" t="s">
        <v>5</v>
      </c>
      <c r="F75" t="s">
        <v>2</v>
      </c>
      <c r="G75">
        <v>1.6E-2</v>
      </c>
      <c r="H75">
        <v>1.65</v>
      </c>
      <c r="I75">
        <v>2.7240000000000002</v>
      </c>
      <c r="J75">
        <v>4.1463520000000003</v>
      </c>
      <c r="K75">
        <v>358.19240000000002</v>
      </c>
      <c r="L75">
        <v>357.69159999999999</v>
      </c>
    </row>
    <row r="76" spans="1:12" x14ac:dyDescent="0.2">
      <c r="A76" s="1">
        <v>42980.480856481481</v>
      </c>
      <c r="B76">
        <v>874.12850000000003</v>
      </c>
      <c r="C76">
        <v>24</v>
      </c>
      <c r="D76" t="s">
        <v>36</v>
      </c>
      <c r="E76" t="s">
        <v>5</v>
      </c>
      <c r="F76" t="s">
        <v>2</v>
      </c>
      <c r="G76">
        <v>3.5412279999999998</v>
      </c>
      <c r="H76">
        <v>1.65</v>
      </c>
      <c r="I76">
        <v>-10.37555</v>
      </c>
      <c r="J76">
        <v>358.5027</v>
      </c>
      <c r="K76">
        <v>73.774450000000002</v>
      </c>
      <c r="L76">
        <v>359.7448</v>
      </c>
    </row>
    <row r="77" spans="1:12" x14ac:dyDescent="0.2">
      <c r="A77" s="1">
        <v>42980.480868055558</v>
      </c>
      <c r="B77">
        <v>875.28330000000005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1.65</v>
      </c>
      <c r="I77">
        <v>4.1399999999999997</v>
      </c>
      <c r="J77">
        <v>359.76119999999997</v>
      </c>
      <c r="K77">
        <v>71.161010000000005</v>
      </c>
      <c r="L77">
        <v>358.69330000000002</v>
      </c>
    </row>
    <row r="78" spans="1:12" x14ac:dyDescent="0.2">
      <c r="A78" s="1">
        <v>42980.480902777781</v>
      </c>
      <c r="B78">
        <v>878.59699999999998</v>
      </c>
      <c r="C78">
        <v>25</v>
      </c>
      <c r="D78" t="s">
        <v>35</v>
      </c>
      <c r="E78" t="s">
        <v>1</v>
      </c>
      <c r="F78" t="s">
        <v>5</v>
      </c>
      <c r="G78">
        <v>-4.0749899999999997</v>
      </c>
      <c r="H78">
        <v>1.65</v>
      </c>
      <c r="I78">
        <v>4.1399330000000001</v>
      </c>
      <c r="J78">
        <v>359.95139999999998</v>
      </c>
      <c r="K78">
        <v>0.62284450000000002</v>
      </c>
      <c r="L78">
        <v>357.50439999999998</v>
      </c>
    </row>
    <row r="79" spans="1:12" x14ac:dyDescent="0.2">
      <c r="A79" s="1">
        <v>42980.481076388889</v>
      </c>
      <c r="B79">
        <v>893.30399999999997</v>
      </c>
      <c r="C79">
        <v>25</v>
      </c>
      <c r="D79" t="s">
        <v>36</v>
      </c>
      <c r="E79" t="s">
        <v>1</v>
      </c>
      <c r="F79" t="s">
        <v>5</v>
      </c>
      <c r="G79">
        <v>-1.96414</v>
      </c>
      <c r="H79">
        <v>1.65</v>
      </c>
      <c r="I79">
        <v>-6.7665170000000003</v>
      </c>
      <c r="J79">
        <v>359.95589999999999</v>
      </c>
      <c r="K79">
        <v>79.392080000000007</v>
      </c>
      <c r="L79">
        <v>357.7296</v>
      </c>
    </row>
    <row r="80" spans="1:12" x14ac:dyDescent="0.2">
      <c r="A80" s="1">
        <v>42980.481087962966</v>
      </c>
      <c r="B80">
        <v>894.32489999999996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1.65</v>
      </c>
      <c r="I80">
        <v>-0.67300000000000004</v>
      </c>
      <c r="J80">
        <v>1.103235</v>
      </c>
      <c r="K80">
        <v>76.845169999999996</v>
      </c>
      <c r="L80">
        <v>357.92169999999999</v>
      </c>
    </row>
    <row r="81" spans="1:12" x14ac:dyDescent="0.2">
      <c r="A81" s="1">
        <v>42980.481134259258</v>
      </c>
      <c r="B81">
        <v>898.55909999999994</v>
      </c>
      <c r="C81">
        <v>26</v>
      </c>
      <c r="D81" t="s">
        <v>35</v>
      </c>
      <c r="E81" t="s">
        <v>4</v>
      </c>
      <c r="F81" t="s">
        <v>6</v>
      </c>
      <c r="G81">
        <v>3.9130739999999999</v>
      </c>
      <c r="H81">
        <v>1.65</v>
      </c>
      <c r="I81">
        <v>-0.6722648</v>
      </c>
      <c r="J81">
        <v>8.5211600000000001</v>
      </c>
      <c r="K81">
        <v>173.50960000000001</v>
      </c>
      <c r="L81">
        <v>1.196885</v>
      </c>
    </row>
    <row r="82" spans="1:12" x14ac:dyDescent="0.2">
      <c r="A82" s="1">
        <v>42980.481249999997</v>
      </c>
      <c r="B82">
        <v>908.7183</v>
      </c>
      <c r="C82">
        <v>26</v>
      </c>
      <c r="D82" t="s">
        <v>36</v>
      </c>
      <c r="E82" t="s">
        <v>4</v>
      </c>
      <c r="F82" t="s">
        <v>6</v>
      </c>
      <c r="G82">
        <v>-4.7117190000000004</v>
      </c>
      <c r="H82">
        <v>1.65</v>
      </c>
      <c r="I82">
        <v>5.3315010000000003</v>
      </c>
      <c r="J82">
        <v>358.40269999999998</v>
      </c>
      <c r="K82">
        <v>190.8347</v>
      </c>
      <c r="L82">
        <v>356.6454</v>
      </c>
    </row>
    <row r="83" spans="1:12" x14ac:dyDescent="0.2">
      <c r="A83" s="1">
        <v>42980.481273148151</v>
      </c>
      <c r="B83">
        <v>909.8732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1.65</v>
      </c>
      <c r="I83">
        <v>2.7240000000000002</v>
      </c>
      <c r="J83">
        <v>359.68040000000002</v>
      </c>
      <c r="K83">
        <v>189.79740000000001</v>
      </c>
      <c r="L83">
        <v>358.51979999999998</v>
      </c>
    </row>
    <row r="84" spans="1:12" x14ac:dyDescent="0.2">
      <c r="A84" s="1">
        <v>42980.48133101852</v>
      </c>
      <c r="B84">
        <v>915.76679999999999</v>
      </c>
      <c r="C84">
        <v>27</v>
      </c>
      <c r="D84" t="s">
        <v>35</v>
      </c>
      <c r="E84" t="s">
        <v>5</v>
      </c>
      <c r="F84" t="s">
        <v>2</v>
      </c>
      <c r="G84">
        <v>5.3585519999999998E-2</v>
      </c>
      <c r="H84">
        <v>1.65</v>
      </c>
      <c r="I84">
        <v>2.7129910000000002</v>
      </c>
      <c r="J84">
        <v>6.6127419999999999</v>
      </c>
      <c r="K84">
        <v>355.74290000000002</v>
      </c>
      <c r="L84">
        <v>359.29680000000002</v>
      </c>
    </row>
    <row r="85" spans="1:12" x14ac:dyDescent="0.2">
      <c r="A85" s="1">
        <v>42980.481469907405</v>
      </c>
      <c r="B85">
        <v>927.56510000000003</v>
      </c>
      <c r="C85">
        <v>27</v>
      </c>
      <c r="D85" t="s">
        <v>36</v>
      </c>
      <c r="E85" t="s">
        <v>5</v>
      </c>
      <c r="F85" t="s">
        <v>2</v>
      </c>
      <c r="G85">
        <v>3.0340419999999999</v>
      </c>
      <c r="H85">
        <v>1.65</v>
      </c>
      <c r="I85">
        <v>-7.6853550000000004</v>
      </c>
      <c r="J85">
        <v>359.39679999999998</v>
      </c>
      <c r="K85">
        <v>70.618020000000001</v>
      </c>
      <c r="L85">
        <v>357.54559999999998</v>
      </c>
    </row>
    <row r="86" spans="1:12" x14ac:dyDescent="0.2">
      <c r="A86" s="1">
        <v>42980.481493055559</v>
      </c>
      <c r="B86">
        <v>929.17190000000005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1.65</v>
      </c>
      <c r="I86">
        <v>-4.117</v>
      </c>
      <c r="J86">
        <v>1.1922740000000001</v>
      </c>
      <c r="K86">
        <v>62.749169999999999</v>
      </c>
      <c r="L86">
        <v>357.6037</v>
      </c>
    </row>
    <row r="87" spans="1:12" x14ac:dyDescent="0.2">
      <c r="A87" s="1">
        <v>42980.481562499997</v>
      </c>
      <c r="B87">
        <v>935.69269999999995</v>
      </c>
      <c r="C87">
        <v>28</v>
      </c>
      <c r="D87" t="s">
        <v>35</v>
      </c>
      <c r="E87" t="s">
        <v>0</v>
      </c>
      <c r="F87" t="s">
        <v>1</v>
      </c>
      <c r="G87">
        <v>-0.89737809999999996</v>
      </c>
      <c r="H87">
        <v>1.65</v>
      </c>
      <c r="I87">
        <v>-4.1131219999999997</v>
      </c>
      <c r="J87">
        <v>6.1123589999999997</v>
      </c>
      <c r="K87">
        <v>7.7858470000000004</v>
      </c>
      <c r="L87">
        <v>359.59559999999999</v>
      </c>
    </row>
    <row r="88" spans="1:12" x14ac:dyDescent="0.2">
      <c r="A88" s="1">
        <v>42980.481759259259</v>
      </c>
      <c r="B88">
        <v>952.54849999999999</v>
      </c>
      <c r="C88">
        <v>28</v>
      </c>
      <c r="D88" t="s">
        <v>36</v>
      </c>
      <c r="E88" t="s">
        <v>0</v>
      </c>
      <c r="F88" t="s">
        <v>1</v>
      </c>
      <c r="G88">
        <v>2.6301030000000001</v>
      </c>
      <c r="H88">
        <v>1.65</v>
      </c>
      <c r="I88">
        <v>9.6342929999999996</v>
      </c>
      <c r="J88">
        <v>358.02870000000001</v>
      </c>
      <c r="K88">
        <v>289.26209999999998</v>
      </c>
      <c r="L88">
        <v>358.17970000000003</v>
      </c>
    </row>
    <row r="89" spans="1:12" x14ac:dyDescent="0.2">
      <c r="A89" s="1">
        <v>42980.484432870369</v>
      </c>
      <c r="B89">
        <v>975.44780000000003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1.65</v>
      </c>
      <c r="I89">
        <v>-1.4059999999999999</v>
      </c>
      <c r="J89">
        <v>5.9738069999999999</v>
      </c>
      <c r="K89">
        <v>328.28199999999998</v>
      </c>
      <c r="L89">
        <v>358.08440000000002</v>
      </c>
    </row>
    <row r="90" spans="1:12" x14ac:dyDescent="0.2">
      <c r="A90" s="1">
        <v>42980.484490740739</v>
      </c>
      <c r="B90">
        <v>979.97500000000002</v>
      </c>
      <c r="C90">
        <v>29</v>
      </c>
      <c r="D90" t="s">
        <v>35</v>
      </c>
      <c r="E90" t="s">
        <v>33</v>
      </c>
      <c r="F90" t="s">
        <v>3</v>
      </c>
      <c r="G90">
        <v>-3.9677820000000001</v>
      </c>
      <c r="H90">
        <v>1.65</v>
      </c>
      <c r="I90">
        <v>-1.431935</v>
      </c>
      <c r="J90">
        <v>8.1085309999999993</v>
      </c>
      <c r="K90">
        <v>347.52</v>
      </c>
      <c r="L90">
        <v>358.54169999999999</v>
      </c>
    </row>
    <row r="91" spans="1:12" x14ac:dyDescent="0.2">
      <c r="A91" s="1">
        <v>42980.484629629631</v>
      </c>
      <c r="B91">
        <v>992.19209999999998</v>
      </c>
      <c r="C91">
        <v>29</v>
      </c>
      <c r="D91" t="s">
        <v>36</v>
      </c>
      <c r="E91" t="s">
        <v>33</v>
      </c>
      <c r="F91" t="s">
        <v>3</v>
      </c>
      <c r="G91">
        <v>-4.3894849999999996</v>
      </c>
      <c r="H91">
        <v>1.65</v>
      </c>
      <c r="I91">
        <v>-10.01183</v>
      </c>
      <c r="J91">
        <v>0.17887259999999999</v>
      </c>
      <c r="K91">
        <v>96.51343</v>
      </c>
      <c r="L91">
        <v>356.57650000000001</v>
      </c>
    </row>
    <row r="92" spans="1:12" x14ac:dyDescent="0.2">
      <c r="A92" s="1">
        <v>42980.4846412037</v>
      </c>
      <c r="B92">
        <v>993.54769999999996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1.65</v>
      </c>
      <c r="I92">
        <v>0.09</v>
      </c>
      <c r="J92">
        <v>0.3666237</v>
      </c>
      <c r="K92">
        <v>91.7209</v>
      </c>
      <c r="L92">
        <v>357.60860000000002</v>
      </c>
    </row>
    <row r="93" spans="1:12" x14ac:dyDescent="0.2">
      <c r="A93" s="1">
        <v>42980.48474537037</v>
      </c>
      <c r="B93">
        <v>1002.501</v>
      </c>
      <c r="C93">
        <v>30</v>
      </c>
      <c r="D93" t="s">
        <v>35</v>
      </c>
      <c r="E93" t="s">
        <v>6</v>
      </c>
      <c r="F93" t="s">
        <v>33</v>
      </c>
      <c r="G93">
        <v>-4.1050240000000002</v>
      </c>
      <c r="H93">
        <v>1.65</v>
      </c>
      <c r="I93">
        <v>8.9357220000000001E-2</v>
      </c>
      <c r="J93">
        <v>6.4009010000000002</v>
      </c>
      <c r="K93">
        <v>2.2819699999999998</v>
      </c>
      <c r="L93">
        <v>357.90940000000001</v>
      </c>
    </row>
    <row r="94" spans="1:12" x14ac:dyDescent="0.2">
      <c r="A94" s="1">
        <v>42980.484953703701</v>
      </c>
      <c r="B94">
        <v>1020.543</v>
      </c>
      <c r="C94">
        <v>30</v>
      </c>
      <c r="D94" t="s">
        <v>36</v>
      </c>
      <c r="E94" t="s">
        <v>6</v>
      </c>
      <c r="F94" t="s">
        <v>33</v>
      </c>
      <c r="G94">
        <v>-4.449757</v>
      </c>
      <c r="H94">
        <v>1.65</v>
      </c>
      <c r="I94">
        <v>-8.4730229999999995</v>
      </c>
      <c r="J94">
        <v>0.2186333</v>
      </c>
      <c r="K94">
        <v>93.087329999999994</v>
      </c>
      <c r="L94">
        <v>356.94400000000002</v>
      </c>
    </row>
    <row r="95" spans="1:12" x14ac:dyDescent="0.2">
      <c r="A95" s="1">
        <v>42980.484976851854</v>
      </c>
      <c r="B95">
        <v>1021.848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1.65</v>
      </c>
      <c r="I95">
        <v>-4.3440000000000003</v>
      </c>
      <c r="J95">
        <v>359.8039</v>
      </c>
      <c r="K95">
        <v>78.53904</v>
      </c>
      <c r="L95">
        <v>358.27359999999999</v>
      </c>
    </row>
    <row r="96" spans="1:12" x14ac:dyDescent="0.2">
      <c r="A96" s="1">
        <v>42980.485034722224</v>
      </c>
      <c r="B96">
        <v>1027.153</v>
      </c>
      <c r="C96">
        <v>31</v>
      </c>
      <c r="D96" t="s">
        <v>35</v>
      </c>
      <c r="E96" t="s">
        <v>2</v>
      </c>
      <c r="F96" t="s">
        <v>0</v>
      </c>
      <c r="G96">
        <v>3.5718920000000001</v>
      </c>
      <c r="H96">
        <v>1.65</v>
      </c>
      <c r="I96">
        <v>-4.4404789999999998</v>
      </c>
      <c r="J96">
        <v>6.4543119999999998</v>
      </c>
      <c r="K96">
        <v>3.231916</v>
      </c>
      <c r="L96">
        <v>358.3433</v>
      </c>
    </row>
    <row r="97" spans="1:12" x14ac:dyDescent="0.2">
      <c r="A97" s="1">
        <v>42980.485150462962</v>
      </c>
      <c r="B97">
        <v>1037.7809999999999</v>
      </c>
      <c r="C97">
        <v>31</v>
      </c>
      <c r="D97" t="s">
        <v>36</v>
      </c>
      <c r="E97" t="s">
        <v>2</v>
      </c>
      <c r="F97" t="s">
        <v>0</v>
      </c>
      <c r="G97">
        <v>-5.3679769999999998</v>
      </c>
      <c r="H97">
        <v>1.65</v>
      </c>
      <c r="I97">
        <v>-5.9595140000000004</v>
      </c>
      <c r="J97">
        <v>7.8041929999999997</v>
      </c>
      <c r="K97">
        <v>182.298</v>
      </c>
      <c r="L97">
        <v>357.9957</v>
      </c>
    </row>
    <row r="98" spans="1:12" x14ac:dyDescent="0.2">
      <c r="A98" s="1">
        <v>42980.485173611109</v>
      </c>
      <c r="B98">
        <v>1039.0360000000001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1.65</v>
      </c>
      <c r="I98">
        <v>1.8169999999999999</v>
      </c>
      <c r="J98">
        <v>6.8078909999999997</v>
      </c>
      <c r="K98">
        <v>170.1113</v>
      </c>
      <c r="L98">
        <v>358.47980000000001</v>
      </c>
    </row>
    <row r="99" spans="1:12" x14ac:dyDescent="0.2">
      <c r="A99" s="1">
        <v>42980.485219907408</v>
      </c>
      <c r="B99">
        <v>1043.153</v>
      </c>
      <c r="C99">
        <v>32</v>
      </c>
      <c r="D99" t="s">
        <v>35</v>
      </c>
      <c r="E99" t="s">
        <v>3</v>
      </c>
      <c r="F99" t="s">
        <v>4</v>
      </c>
      <c r="G99">
        <v>3.3738939999999999</v>
      </c>
      <c r="H99">
        <v>1.65</v>
      </c>
      <c r="I99">
        <v>1.927745</v>
      </c>
      <c r="J99">
        <v>7.6061829999999997</v>
      </c>
      <c r="K99">
        <v>268.82549999999998</v>
      </c>
      <c r="L99">
        <v>0.44231039999999999</v>
      </c>
    </row>
    <row r="100" spans="1:12" x14ac:dyDescent="0.2">
      <c r="A100" s="1">
        <v>42980.485324074078</v>
      </c>
      <c r="B100">
        <v>1052.2570000000001</v>
      </c>
      <c r="C100">
        <v>32</v>
      </c>
      <c r="D100" t="s">
        <v>36</v>
      </c>
      <c r="E100" t="s">
        <v>3</v>
      </c>
      <c r="F100" t="s">
        <v>4</v>
      </c>
      <c r="G100">
        <v>10.19666</v>
      </c>
      <c r="H100">
        <v>1.65</v>
      </c>
      <c r="I100">
        <v>-2.266845</v>
      </c>
      <c r="J100">
        <v>359.38319999999999</v>
      </c>
      <c r="K100">
        <v>34.336820000000003</v>
      </c>
      <c r="L100">
        <v>357.10070000000002</v>
      </c>
    </row>
    <row r="101" spans="1:12" x14ac:dyDescent="0.2">
      <c r="A101" s="1">
        <v>42980.485335648147</v>
      </c>
      <c r="B101">
        <v>1053.4459999999999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1.65</v>
      </c>
      <c r="I101">
        <v>0.09</v>
      </c>
      <c r="J101">
        <v>2.0341959999999999E-2</v>
      </c>
      <c r="K101">
        <v>32.246639999999999</v>
      </c>
      <c r="L101">
        <v>357.55610000000001</v>
      </c>
    </row>
    <row r="102" spans="1:12" x14ac:dyDescent="0.2">
      <c r="A102" s="1">
        <v>42980.485393518517</v>
      </c>
      <c r="B102">
        <v>1058.7339999999999</v>
      </c>
      <c r="C102">
        <v>33</v>
      </c>
      <c r="D102" t="s">
        <v>35</v>
      </c>
      <c r="E102" t="s">
        <v>6</v>
      </c>
      <c r="F102" t="s">
        <v>33</v>
      </c>
      <c r="G102">
        <v>-4.1100000000000003</v>
      </c>
      <c r="H102">
        <v>1.65</v>
      </c>
      <c r="I102">
        <v>0.09</v>
      </c>
      <c r="J102">
        <v>4.5619500000000004</v>
      </c>
      <c r="K102">
        <v>357.99329999999998</v>
      </c>
      <c r="L102">
        <v>357.39909999999998</v>
      </c>
    </row>
    <row r="103" spans="1:12" x14ac:dyDescent="0.2">
      <c r="A103" s="1">
        <v>42980.485601851855</v>
      </c>
      <c r="B103">
        <v>1076.7760000000001</v>
      </c>
      <c r="C103">
        <v>33</v>
      </c>
      <c r="D103" t="s">
        <v>36</v>
      </c>
      <c r="E103" t="s">
        <v>6</v>
      </c>
      <c r="F103" t="s">
        <v>33</v>
      </c>
      <c r="G103">
        <v>-6.8503499999999997</v>
      </c>
      <c r="H103">
        <v>1.65</v>
      </c>
      <c r="I103">
        <v>-8.5052970000000006</v>
      </c>
      <c r="J103">
        <v>1.1109599999999999</v>
      </c>
      <c r="K103">
        <v>109.00020000000001</v>
      </c>
      <c r="L103">
        <v>357.02109999999999</v>
      </c>
    </row>
    <row r="104" spans="1:12" x14ac:dyDescent="0.2">
      <c r="A104" s="1">
        <v>42980.485625000001</v>
      </c>
      <c r="B104">
        <v>1077.8969999999999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1.65</v>
      </c>
      <c r="I104">
        <v>-0.67300000000000004</v>
      </c>
      <c r="J104">
        <v>359.41289999999998</v>
      </c>
      <c r="K104">
        <v>101.1768</v>
      </c>
      <c r="L104">
        <v>358.26490000000001</v>
      </c>
    </row>
    <row r="105" spans="1:12" x14ac:dyDescent="0.2">
      <c r="A105" s="1">
        <v>42980.485671296294</v>
      </c>
      <c r="B105">
        <v>1082.048</v>
      </c>
      <c r="C105">
        <v>34</v>
      </c>
      <c r="D105" t="s">
        <v>35</v>
      </c>
      <c r="E105" t="s">
        <v>4</v>
      </c>
      <c r="F105" t="s">
        <v>6</v>
      </c>
      <c r="G105">
        <v>3.436671</v>
      </c>
      <c r="H105">
        <v>1.65</v>
      </c>
      <c r="I105">
        <v>-0.62282680000000001</v>
      </c>
      <c r="J105">
        <v>10.4275</v>
      </c>
      <c r="K105">
        <v>198.21860000000001</v>
      </c>
      <c r="L105">
        <v>358.98610000000002</v>
      </c>
    </row>
    <row r="106" spans="1:12" x14ac:dyDescent="0.2">
      <c r="A106" s="1">
        <v>42980.485879629632</v>
      </c>
      <c r="B106">
        <v>1100.6610000000001</v>
      </c>
      <c r="C106">
        <v>34</v>
      </c>
      <c r="D106" t="s">
        <v>36</v>
      </c>
      <c r="E106" t="s">
        <v>4</v>
      </c>
      <c r="F106" t="s">
        <v>6</v>
      </c>
      <c r="G106">
        <v>12.750159999999999</v>
      </c>
      <c r="H106">
        <v>1.65</v>
      </c>
      <c r="I106">
        <v>-8.7664969999999993</v>
      </c>
      <c r="J106">
        <v>357.98430000000002</v>
      </c>
      <c r="K106">
        <v>38.391930000000002</v>
      </c>
      <c r="L106">
        <v>356.73610000000002</v>
      </c>
    </row>
    <row r="107" spans="1:12" x14ac:dyDescent="0.2">
      <c r="A107" s="1">
        <v>42980.485902777778</v>
      </c>
      <c r="B107">
        <v>1101.8979999999999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1.65</v>
      </c>
      <c r="I107">
        <v>2.7240000000000002</v>
      </c>
      <c r="J107">
        <v>359.7013</v>
      </c>
      <c r="K107">
        <v>36.107799999999997</v>
      </c>
      <c r="L107">
        <v>357.8657</v>
      </c>
    </row>
    <row r="108" spans="1:12" x14ac:dyDescent="0.2">
      <c r="A108" s="1">
        <v>42980.485925925925</v>
      </c>
      <c r="B108">
        <v>1104.704</v>
      </c>
      <c r="C108">
        <v>35</v>
      </c>
      <c r="D108" t="s">
        <v>35</v>
      </c>
      <c r="E108" t="s">
        <v>5</v>
      </c>
      <c r="F108" t="s">
        <v>2</v>
      </c>
      <c r="G108">
        <v>3.1166360000000001E-2</v>
      </c>
      <c r="H108">
        <v>1.65</v>
      </c>
      <c r="I108">
        <v>2.7222019999999998</v>
      </c>
      <c r="J108">
        <v>2.3177479999999999</v>
      </c>
      <c r="K108">
        <v>358.08530000000002</v>
      </c>
      <c r="L108">
        <v>357.34199999999998</v>
      </c>
    </row>
    <row r="109" spans="1:12" x14ac:dyDescent="0.2">
      <c r="A109" s="1">
        <v>42980.486064814817</v>
      </c>
      <c r="B109">
        <v>1116.672</v>
      </c>
      <c r="C109">
        <v>35</v>
      </c>
      <c r="D109" t="s">
        <v>36</v>
      </c>
      <c r="E109" t="s">
        <v>5</v>
      </c>
      <c r="F109" t="s">
        <v>2</v>
      </c>
      <c r="G109">
        <v>0.80275549999999996</v>
      </c>
      <c r="H109">
        <v>1.65</v>
      </c>
      <c r="I109">
        <v>-10.845079999999999</v>
      </c>
      <c r="J109">
        <v>355.25580000000002</v>
      </c>
      <c r="K109">
        <v>81.635220000000004</v>
      </c>
      <c r="L109">
        <v>357.4957</v>
      </c>
    </row>
    <row r="110" spans="1:12" x14ac:dyDescent="0.2">
      <c r="A110" s="1">
        <v>42980.486076388886</v>
      </c>
      <c r="B110">
        <v>1117.7760000000001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1.65</v>
      </c>
      <c r="I110">
        <v>1.8169999999999999</v>
      </c>
      <c r="J110">
        <v>357.31959999999998</v>
      </c>
      <c r="K110">
        <v>78.823400000000007</v>
      </c>
      <c r="L110">
        <v>357.92489999999998</v>
      </c>
    </row>
    <row r="111" spans="1:12" x14ac:dyDescent="0.2">
      <c r="A111" s="1">
        <v>42980.486134259256</v>
      </c>
      <c r="B111">
        <v>1122.229</v>
      </c>
      <c r="C111">
        <v>36</v>
      </c>
      <c r="D111" t="s">
        <v>35</v>
      </c>
      <c r="E111" t="s">
        <v>3</v>
      </c>
      <c r="F111" t="s">
        <v>4</v>
      </c>
      <c r="G111">
        <v>3.339601</v>
      </c>
      <c r="H111">
        <v>1.65</v>
      </c>
      <c r="I111">
        <v>1.9482299999999999</v>
      </c>
      <c r="J111">
        <v>5.0808920000000004</v>
      </c>
      <c r="K111">
        <v>271.51479999999998</v>
      </c>
      <c r="L111">
        <v>0.48113099999999998</v>
      </c>
    </row>
    <row r="112" spans="1:12" x14ac:dyDescent="0.2">
      <c r="A112" s="1">
        <v>42980.486261574071</v>
      </c>
      <c r="B112">
        <v>1132.874</v>
      </c>
      <c r="C112">
        <v>36</v>
      </c>
      <c r="D112" t="s">
        <v>36</v>
      </c>
      <c r="E112" t="s">
        <v>3</v>
      </c>
      <c r="F112" t="s">
        <v>4</v>
      </c>
      <c r="G112">
        <v>10.90935</v>
      </c>
      <c r="H112">
        <v>1.65</v>
      </c>
      <c r="I112">
        <v>-6.5090769999999996</v>
      </c>
      <c r="J112">
        <v>356.99799999999999</v>
      </c>
      <c r="K112">
        <v>44.422040000000003</v>
      </c>
      <c r="L112">
        <v>356.62709999999998</v>
      </c>
    </row>
    <row r="113" spans="1:12" x14ac:dyDescent="0.2">
      <c r="A113" s="1">
        <v>42980.486273148148</v>
      </c>
      <c r="B113">
        <v>1133.9449999999999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1.65</v>
      </c>
      <c r="I113">
        <v>0.09</v>
      </c>
      <c r="J113">
        <v>356.97680000000003</v>
      </c>
      <c r="K113">
        <v>34.608690000000003</v>
      </c>
      <c r="L113">
        <v>359.60559999999998</v>
      </c>
    </row>
    <row r="114" spans="1:12" x14ac:dyDescent="0.2">
      <c r="A114" s="1">
        <v>42980.486342592594</v>
      </c>
      <c r="B114">
        <v>1139.82</v>
      </c>
      <c r="C114">
        <v>37</v>
      </c>
      <c r="D114" t="s">
        <v>35</v>
      </c>
      <c r="E114" t="s">
        <v>6</v>
      </c>
      <c r="F114" t="s">
        <v>33</v>
      </c>
      <c r="G114">
        <v>-4.0698319999999999</v>
      </c>
      <c r="H114">
        <v>1.65</v>
      </c>
      <c r="I114">
        <v>6.0851299999999997E-2</v>
      </c>
      <c r="J114">
        <v>8.0033349999999999</v>
      </c>
      <c r="K114">
        <v>2.946882</v>
      </c>
      <c r="L114">
        <v>358.82170000000002</v>
      </c>
    </row>
    <row r="115" spans="1:12" x14ac:dyDescent="0.2">
      <c r="A115" s="1">
        <v>42980.48646990741</v>
      </c>
      <c r="B115">
        <v>1151.3520000000001</v>
      </c>
      <c r="C115">
        <v>37</v>
      </c>
      <c r="D115" t="s">
        <v>36</v>
      </c>
      <c r="E115" t="s">
        <v>6</v>
      </c>
      <c r="F115" t="s">
        <v>33</v>
      </c>
      <c r="G115">
        <v>-6.4219980000000003</v>
      </c>
      <c r="H115">
        <v>1.65</v>
      </c>
      <c r="I115">
        <v>-11.22503</v>
      </c>
      <c r="J115">
        <v>359.3535</v>
      </c>
      <c r="K115">
        <v>98.720219999999998</v>
      </c>
      <c r="L115">
        <v>357.99400000000003</v>
      </c>
    </row>
    <row r="116" spans="1:12" x14ac:dyDescent="0.2">
      <c r="A116" s="1">
        <v>42980.486481481479</v>
      </c>
      <c r="B116">
        <v>1152.624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1.65</v>
      </c>
      <c r="I116">
        <v>-4.3440000000000003</v>
      </c>
      <c r="J116">
        <v>1.243614</v>
      </c>
      <c r="K116">
        <v>97.633849999999995</v>
      </c>
      <c r="L116">
        <v>357.10430000000002</v>
      </c>
    </row>
    <row r="117" spans="1:12" x14ac:dyDescent="0.2">
      <c r="A117" s="1">
        <v>42980.486527777779</v>
      </c>
      <c r="B117">
        <v>1155.8869999999999</v>
      </c>
      <c r="C117">
        <v>38</v>
      </c>
      <c r="D117" t="s">
        <v>35</v>
      </c>
      <c r="E117" t="s">
        <v>2</v>
      </c>
      <c r="F117" t="s">
        <v>0</v>
      </c>
      <c r="G117">
        <v>3.516</v>
      </c>
      <c r="H117">
        <v>1.65</v>
      </c>
      <c r="I117">
        <v>-4.3440000000000003</v>
      </c>
      <c r="J117">
        <v>0.38806560000000001</v>
      </c>
      <c r="K117">
        <v>351.21109999999999</v>
      </c>
      <c r="L117">
        <v>359.8922</v>
      </c>
    </row>
    <row r="118" spans="1:12" x14ac:dyDescent="0.2">
      <c r="A118" s="1">
        <v>42980.486689814818</v>
      </c>
      <c r="B118">
        <v>1170.097</v>
      </c>
      <c r="C118">
        <v>38</v>
      </c>
      <c r="D118" t="s">
        <v>36</v>
      </c>
      <c r="E118" t="s">
        <v>2</v>
      </c>
      <c r="F118" t="s">
        <v>0</v>
      </c>
      <c r="G118">
        <v>-7.8088119999999996</v>
      </c>
      <c r="H118">
        <v>1.65</v>
      </c>
      <c r="I118">
        <v>-2.4409689999999999</v>
      </c>
      <c r="J118">
        <v>2.843296</v>
      </c>
      <c r="K118">
        <v>191.6568</v>
      </c>
      <c r="L118">
        <v>358.21859999999998</v>
      </c>
    </row>
    <row r="119" spans="1:12" x14ac:dyDescent="0.2">
      <c r="A119" s="1">
        <v>42980.486701388887</v>
      </c>
      <c r="B119">
        <v>1171.1020000000001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1.65</v>
      </c>
      <c r="I119">
        <v>4.1399999999999997</v>
      </c>
      <c r="J119">
        <v>3.2707480000000002</v>
      </c>
      <c r="K119">
        <v>189.3759</v>
      </c>
      <c r="L119">
        <v>357.81950000000001</v>
      </c>
    </row>
    <row r="120" spans="1:12" x14ac:dyDescent="0.2">
      <c r="A120" s="1">
        <v>42980.486759259256</v>
      </c>
      <c r="B120">
        <v>1176.056</v>
      </c>
      <c r="C120">
        <v>39</v>
      </c>
      <c r="D120" t="s">
        <v>35</v>
      </c>
      <c r="E120" t="s">
        <v>1</v>
      </c>
      <c r="F120" t="s">
        <v>5</v>
      </c>
      <c r="G120">
        <v>-3.9210720000000001</v>
      </c>
      <c r="H120">
        <v>1.65</v>
      </c>
      <c r="I120">
        <v>4.1415899999999999</v>
      </c>
      <c r="J120">
        <v>3.5168089999999999</v>
      </c>
      <c r="K120">
        <v>359.84379999999999</v>
      </c>
      <c r="L120">
        <v>0.61300690000000002</v>
      </c>
    </row>
    <row r="121" spans="1:12" x14ac:dyDescent="0.2">
      <c r="A121" s="1">
        <v>42980.486932870372</v>
      </c>
      <c r="B121">
        <v>1191.3209999999999</v>
      </c>
      <c r="C121">
        <v>39</v>
      </c>
      <c r="D121" t="s">
        <v>36</v>
      </c>
      <c r="E121" t="s">
        <v>1</v>
      </c>
      <c r="F121" t="s">
        <v>5</v>
      </c>
      <c r="G121">
        <v>-6.6632110000000004</v>
      </c>
      <c r="H121">
        <v>1.65</v>
      </c>
      <c r="I121">
        <v>-7.6397069999999996</v>
      </c>
      <c r="J121">
        <v>0.79674469999999997</v>
      </c>
      <c r="K121">
        <v>100.1296</v>
      </c>
      <c r="L121">
        <v>357.18349999999998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(40)'!$C$2:$L$247,3,0)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(40)'!$C$2:$L$247,5,1)</f>
        <v>0.93300159999999999</v>
      </c>
      <c r="G2" s="3">
        <f>VLOOKUP($A2,'Summary Data (40)'!$C$2:$L$247,6,1)</f>
        <v>1.65</v>
      </c>
      <c r="H2" s="3">
        <f>VLOOKUP($A2,'Summary Data (40)'!$C$2:$L$247,7,1)</f>
        <v>6.5541669999999996</v>
      </c>
      <c r="I2" s="3" t="str">
        <f>VLOOKUP($A2,'Summary Data (40)'!$C$2:$L$247,4,0)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10.819098846368471</v>
      </c>
      <c r="N2" s="3">
        <f t="shared" ref="N2:N41" si="1">ABS(SQRT((F2-C2)^2+(H2-E2)^2))</f>
        <v>11.200085923522712</v>
      </c>
      <c r="O2" s="3">
        <f t="shared" ref="O2:O41" si="2">ABS(SQRT((J2-C2)^2+(L2-E2)^2))</f>
        <v>4.3718971854333439</v>
      </c>
      <c r="P2" s="3">
        <f t="shared" ref="P2:P41" si="3">(N2-O2)</f>
        <v>6.8281887380893682</v>
      </c>
      <c r="Q2" s="5">
        <f t="shared" ref="Q2:Q41" si="4">P2/O2</f>
        <v>1.5618365319386063</v>
      </c>
      <c r="R2" s="3">
        <f t="shared" ref="R2:R41" si="5">ATAN2(J2-C2,L2-E2)*180/PI()</f>
        <v>177.02371934116897</v>
      </c>
      <c r="S2" s="3">
        <f t="shared" ref="S2:S41" si="6">ATAN2(F2-C2,H2-E2)*180/PI()</f>
        <v>103.33375829918438</v>
      </c>
      <c r="T2" s="3">
        <f t="shared" ref="T2:T41" si="7">IF(ABS(R2-S2)&gt;180,360-ABS(R2-S2),ABS(R2-S2))</f>
        <v>73.689961041984589</v>
      </c>
      <c r="U2" s="3">
        <f>VLOOKUP($A2,'Summary Data (40)'!$C$2:$N$247,11,0)</f>
        <v>0</v>
      </c>
      <c r="V2" s="3">
        <f>VLOOKUP($A2,'Summary Data (40)'!$C$2:$N$247,12,1)</f>
        <v>0</v>
      </c>
      <c r="W2" s="3">
        <f>VLOOKUP($A2,'Summary Data (40)'!$C$2:$N$247,11,1)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(40)'!$C$2:$L$247,3,0)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(40)'!$C$2:$L$247,5,1)</f>
        <v>-4.2946799999999996</v>
      </c>
      <c r="G3" s="3">
        <f>VLOOKUP($A3,'Summary Data (40)'!$C$2:$L$247,6,1)</f>
        <v>1.65</v>
      </c>
      <c r="H3" s="3">
        <f>VLOOKUP($A3,'Summary Data (40)'!$C$2:$L$247,7,1)</f>
        <v>-2.2840479999999999</v>
      </c>
      <c r="I3" s="3" t="str">
        <f>VLOOKUP($A3,'Summary Data (40)'!$C$2:$L$247,4,0)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8.0777549049661079</v>
      </c>
      <c r="N3" s="3">
        <f t="shared" si="1"/>
        <v>6.6077611059044798</v>
      </c>
      <c r="O3" s="3">
        <f t="shared" si="2"/>
        <v>7.8871175977032326</v>
      </c>
      <c r="P3" s="3">
        <f t="shared" si="3"/>
        <v>-1.2793564917987528</v>
      </c>
      <c r="Q3" s="5">
        <f t="shared" si="4"/>
        <v>-0.16220837028869808</v>
      </c>
      <c r="R3" s="3">
        <f t="shared" si="5"/>
        <v>-63.65586590726528</v>
      </c>
      <c r="S3" s="3">
        <f t="shared" si="6"/>
        <v>-130.72024165640391</v>
      </c>
      <c r="T3" s="3">
        <f t="shared" si="7"/>
        <v>67.064375749138634</v>
      </c>
      <c r="U3" s="3">
        <f>VLOOKUP($A3,'Summary Data (40)'!$C$2:$N$247,11,0)</f>
        <v>0</v>
      </c>
      <c r="V3" s="3">
        <f>VLOOKUP($A3,'Summary Data (40)'!$C$2:$N$247,12,1)</f>
        <v>0</v>
      </c>
      <c r="W3" s="3">
        <f>VLOOKUP($A3,'Summary Data (40)'!$C$2:$N$247,11,1)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(40)'!$C$2:$L$247,3,0)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(40)'!$C$2:$L$247,5,1)</f>
        <v>9.0702350000000003</v>
      </c>
      <c r="G4" s="3">
        <f>VLOOKUP($A4,'Summary Data (40)'!$C$2:$L$247,6,1)</f>
        <v>1.65</v>
      </c>
      <c r="H4" s="3">
        <f>VLOOKUP($A4,'Summary Data (40)'!$C$2:$L$247,7,1)</f>
        <v>-0.12892809999999999</v>
      </c>
      <c r="I4" s="3" t="str">
        <f>VLOOKUP($A4,'Summary Data (40)'!$C$2:$L$247,4,0)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6.0203922476525245</v>
      </c>
      <c r="N4" s="3">
        <f t="shared" si="1"/>
        <v>13.113567312634446</v>
      </c>
      <c r="O4" s="3">
        <f t="shared" si="2"/>
        <v>8.0292617967033557</v>
      </c>
      <c r="P4" s="3">
        <f t="shared" si="3"/>
        <v>5.0843055159310904</v>
      </c>
      <c r="Q4" s="5">
        <f t="shared" si="4"/>
        <v>0.63322203767457153</v>
      </c>
      <c r="R4" s="3">
        <f t="shared" si="5"/>
        <v>23.666151625811782</v>
      </c>
      <c r="S4" s="3">
        <f t="shared" si="6"/>
        <v>5.5886382917933819</v>
      </c>
      <c r="T4" s="3">
        <f t="shared" si="7"/>
        <v>18.077513334018398</v>
      </c>
      <c r="U4" s="3">
        <f>VLOOKUP($A4,'Summary Data (40)'!$C$2:$N$247,11,0)</f>
        <v>0</v>
      </c>
      <c r="V4" s="3">
        <f>VLOOKUP($A4,'Summary Data (40)'!$C$2:$N$247,12,1)</f>
        <v>0</v>
      </c>
      <c r="W4" s="3">
        <f>VLOOKUP($A4,'Summary Data (40)'!$C$2:$N$247,11,1)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(40)'!$C$2:$L$247,3,0)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(40)'!$C$2:$L$247,5,1)</f>
        <v>-1.7588429999999999</v>
      </c>
      <c r="G5" s="3">
        <f>VLOOKUP($A5,'Summary Data (40)'!$C$2:$L$247,6,1)</f>
        <v>1.65</v>
      </c>
      <c r="H5" s="3">
        <f>VLOOKUP($A5,'Summary Data (40)'!$C$2:$L$247,7,1)</f>
        <v>-6.5791890000000004</v>
      </c>
      <c r="I5" s="3" t="str">
        <f>VLOOKUP($A5,'Summary Data (40)'!$C$2:$L$247,4,0)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10.967412699555442</v>
      </c>
      <c r="N5" s="3">
        <f t="shared" si="1"/>
        <v>2.6245704925511149</v>
      </c>
      <c r="O5" s="3">
        <f t="shared" si="2"/>
        <v>8.8659173242253964</v>
      </c>
      <c r="P5" s="3">
        <f t="shared" si="3"/>
        <v>-6.2413468316742815</v>
      </c>
      <c r="Q5" s="5">
        <f t="shared" si="4"/>
        <v>-0.70397079099985627</v>
      </c>
      <c r="R5" s="3">
        <f t="shared" si="5"/>
        <v>111.35858600069317</v>
      </c>
      <c r="S5" s="3">
        <f t="shared" si="6"/>
        <v>-110.26010792366604</v>
      </c>
      <c r="T5" s="3">
        <f t="shared" si="7"/>
        <v>138.38130607564079</v>
      </c>
      <c r="U5" s="3">
        <f>VLOOKUP($A5,'Summary Data (40)'!$C$2:$N$247,11,0)</f>
        <v>0</v>
      </c>
      <c r="V5" s="3">
        <f>VLOOKUP($A5,'Summary Data (40)'!$C$2:$N$247,12,1)</f>
        <v>0</v>
      </c>
      <c r="W5" s="3">
        <f>VLOOKUP($A5,'Summary Data (40)'!$C$2:$N$247,11,1)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(40)'!$C$2:$L$247,3,0)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(40)'!$C$2:$L$247,5,1)</f>
        <v>-9.0736749999999997</v>
      </c>
      <c r="G6" s="3">
        <f>VLOOKUP($A6,'Summary Data (40)'!$C$2:$L$247,6,1)</f>
        <v>1.65</v>
      </c>
      <c r="H6" s="3">
        <f>VLOOKUP($A6,'Summary Data (40)'!$C$2:$L$247,7,1)</f>
        <v>7.2809530000000002</v>
      </c>
      <c r="I6" s="3" t="str">
        <f>VLOOKUP($A6,'Summary Data (40)'!$C$2:$L$247,4,0)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15.233154224645466</v>
      </c>
      <c r="N6" s="3">
        <f t="shared" si="1"/>
        <v>13.593178470903483</v>
      </c>
      <c r="O6" s="3">
        <f t="shared" si="2"/>
        <v>2.5489458605470614</v>
      </c>
      <c r="P6" s="3">
        <f t="shared" si="3"/>
        <v>11.044232610356422</v>
      </c>
      <c r="Q6" s="5">
        <f t="shared" si="4"/>
        <v>4.332862765467322</v>
      </c>
      <c r="R6" s="3">
        <f t="shared" si="5"/>
        <v>-77.654050540796021</v>
      </c>
      <c r="S6" s="3">
        <f t="shared" si="6"/>
        <v>156.29905570116907</v>
      </c>
      <c r="T6" s="3">
        <f t="shared" si="7"/>
        <v>126.04689375803491</v>
      </c>
      <c r="U6" s="3">
        <f>VLOOKUP($A6,'Summary Data (40)'!$C$2:$N$247,11,0)</f>
        <v>0</v>
      </c>
      <c r="V6" s="3">
        <f>VLOOKUP($A6,'Summary Data (40)'!$C$2:$N$247,12,1)</f>
        <v>0</v>
      </c>
      <c r="W6" s="3">
        <f>VLOOKUP($A6,'Summary Data (40)'!$C$2:$N$247,11,1)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(40)'!$C$2:$L$247,3,0)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(40)'!$C$2:$L$247,5,1)</f>
        <v>-2.064765</v>
      </c>
      <c r="G7" s="3">
        <f>VLOOKUP($A7,'Summary Data (40)'!$C$2:$L$247,6,1)</f>
        <v>1.65</v>
      </c>
      <c r="H7" s="3">
        <f>VLOOKUP($A7,'Summary Data (40)'!$C$2:$L$247,7,1)</f>
        <v>9.5294439999999998</v>
      </c>
      <c r="I7" s="3" t="str">
        <f>VLOOKUP($A7,'Summary Data (40)'!$C$2:$L$247,4,0)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13.700404660095298</v>
      </c>
      <c r="N7" s="3">
        <f t="shared" si="1"/>
        <v>14.953841861085765</v>
      </c>
      <c r="O7" s="3">
        <f t="shared" si="2"/>
        <v>4.3718971854333439</v>
      </c>
      <c r="P7" s="3">
        <f t="shared" si="3"/>
        <v>10.581944675652421</v>
      </c>
      <c r="Q7" s="5">
        <f t="shared" si="4"/>
        <v>2.4204468281894274</v>
      </c>
      <c r="R7" s="3">
        <f t="shared" si="5"/>
        <v>177.02371934116897</v>
      </c>
      <c r="S7" s="3">
        <f t="shared" si="6"/>
        <v>111.91306919007226</v>
      </c>
      <c r="T7" s="3">
        <f t="shared" si="7"/>
        <v>65.110650151096706</v>
      </c>
      <c r="U7" s="3">
        <f>VLOOKUP($A7,'Summary Data (40)'!$C$2:$N$247,11,0)</f>
        <v>0</v>
      </c>
      <c r="V7" s="3">
        <f>VLOOKUP($A7,'Summary Data (40)'!$C$2:$N$247,12,1)</f>
        <v>0</v>
      </c>
      <c r="W7" s="3">
        <f>VLOOKUP($A7,'Summary Data (40)'!$C$2:$N$247,11,1)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(40)'!$C$2:$L$247,3,0)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(40)'!$C$2:$L$247,5,1)</f>
        <v>-0.56718440000000003</v>
      </c>
      <c r="G8" s="3">
        <f>VLOOKUP($A8,'Summary Data (40)'!$C$2:$L$247,6,1)</f>
        <v>1.65</v>
      </c>
      <c r="H8" s="3">
        <f>VLOOKUP($A8,'Summary Data (40)'!$C$2:$L$247,7,1)</f>
        <v>-9.3523890000000005</v>
      </c>
      <c r="I8" s="3" t="str">
        <f>VLOOKUP($A8,'Summary Data (40)'!$C$2:$L$247,4,0)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8.6486551029697303</v>
      </c>
      <c r="N8" s="3">
        <f t="shared" si="1"/>
        <v>10.085150093227387</v>
      </c>
      <c r="O8" s="3">
        <f t="shared" si="2"/>
        <v>1.5015515309172709</v>
      </c>
      <c r="P8" s="3">
        <f t="shared" si="3"/>
        <v>8.583598562310117</v>
      </c>
      <c r="Q8" s="5">
        <f t="shared" si="4"/>
        <v>5.7164861715179036</v>
      </c>
      <c r="R8" s="3">
        <f t="shared" si="5"/>
        <v>-85.071579131103505</v>
      </c>
      <c r="S8" s="3">
        <f t="shared" si="6"/>
        <v>-69.433742850015548</v>
      </c>
      <c r="T8" s="3">
        <f t="shared" si="7"/>
        <v>15.637836281087957</v>
      </c>
      <c r="U8" s="3">
        <f>VLOOKUP($A8,'Summary Data (40)'!$C$2:$N$247,11,0)</f>
        <v>0</v>
      </c>
      <c r="V8" s="3">
        <f>VLOOKUP($A8,'Summary Data (40)'!$C$2:$N$247,12,1)</f>
        <v>0</v>
      </c>
      <c r="W8" s="3">
        <f>VLOOKUP($A8,'Summary Data (40)'!$C$2:$N$247,11,1)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(40)'!$C$2:$L$247,3,0)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(40)'!$C$2:$L$247,5,1)</f>
        <v>-5.7373010000000004</v>
      </c>
      <c r="G9" s="3">
        <f>VLOOKUP($A9,'Summary Data (40)'!$C$2:$L$247,6,1)</f>
        <v>1.65</v>
      </c>
      <c r="H9" s="3">
        <f>VLOOKUP($A9,'Summary Data (40)'!$C$2:$L$247,7,1)</f>
        <v>-2.418787</v>
      </c>
      <c r="I9" s="3" t="str">
        <f>VLOOKUP($A9,'Summary Data (40)'!$C$2:$L$247,4,0)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6.7651791637746008</v>
      </c>
      <c r="N9" s="3">
        <f t="shared" si="1"/>
        <v>5.1739383894640651</v>
      </c>
      <c r="O9" s="3">
        <f t="shared" si="2"/>
        <v>8.8659173242253964</v>
      </c>
      <c r="P9" s="3">
        <f t="shared" si="3"/>
        <v>-3.6919789347613312</v>
      </c>
      <c r="Q9" s="5">
        <f t="shared" si="4"/>
        <v>-0.41642379459971951</v>
      </c>
      <c r="R9" s="3">
        <f t="shared" si="5"/>
        <v>111.35858600069317</v>
      </c>
      <c r="S9" s="3">
        <f t="shared" si="6"/>
        <v>160.83895874705297</v>
      </c>
      <c r="T9" s="3">
        <f t="shared" si="7"/>
        <v>49.480372746359805</v>
      </c>
      <c r="U9" s="3">
        <f>VLOOKUP($A9,'Summary Data (40)'!$C$2:$N$247,11,0)</f>
        <v>0</v>
      </c>
      <c r="V9" s="3">
        <f>VLOOKUP($A9,'Summary Data (40)'!$C$2:$N$247,12,1)</f>
        <v>0</v>
      </c>
      <c r="W9" s="3">
        <f>VLOOKUP($A9,'Summary Data (40)'!$C$2:$N$247,11,1)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(40)'!$C$2:$L$247,3,0)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(40)'!$C$2:$L$247,5,1)</f>
        <v>-5.0890719999999998</v>
      </c>
      <c r="G10" s="3">
        <f>VLOOKUP($A10,'Summary Data (40)'!$C$2:$L$247,6,1)</f>
        <v>1.65</v>
      </c>
      <c r="H10" s="3">
        <f>VLOOKUP($A10,'Summary Data (40)'!$C$2:$L$247,7,1)</f>
        <v>-3.0198459999999998</v>
      </c>
      <c r="I10" s="3" t="str">
        <f>VLOOKUP($A10,'Summary Data (40)'!$C$2:$L$247,4,0)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8.706356754745352</v>
      </c>
      <c r="N10" s="3">
        <f t="shared" si="1"/>
        <v>7.6846292686700242</v>
      </c>
      <c r="O10" s="3">
        <f t="shared" si="2"/>
        <v>7.8871175977032326</v>
      </c>
      <c r="P10" s="3">
        <f t="shared" si="3"/>
        <v>-0.20248832903320846</v>
      </c>
      <c r="Q10" s="5">
        <f t="shared" si="4"/>
        <v>-2.5673299088652367E-2</v>
      </c>
      <c r="R10" s="3">
        <f t="shared" si="5"/>
        <v>-63.65586590726528</v>
      </c>
      <c r="S10" s="3">
        <f t="shared" si="6"/>
        <v>-131.63036914379481</v>
      </c>
      <c r="T10" s="3">
        <f t="shared" si="7"/>
        <v>67.974503236529529</v>
      </c>
      <c r="U10" s="3">
        <f>VLOOKUP($A10,'Summary Data (40)'!$C$2:$N$247,11,0)</f>
        <v>0</v>
      </c>
      <c r="V10" s="3">
        <f>VLOOKUP($A10,'Summary Data (40)'!$C$2:$N$247,12,1)</f>
        <v>0</v>
      </c>
      <c r="W10" s="3">
        <f>VLOOKUP($A10,'Summary Data (40)'!$C$2:$N$247,11,1)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(40)'!$C$2:$L$247,3,0)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(40)'!$C$2:$L$247,5,1)</f>
        <v>2.6464080000000001</v>
      </c>
      <c r="G11" s="3">
        <f>VLOOKUP($A11,'Summary Data (40)'!$C$2:$L$247,6,1)</f>
        <v>1.65</v>
      </c>
      <c r="H11" s="3">
        <f>VLOOKUP($A11,'Summary Data (40)'!$C$2:$L$247,7,1)</f>
        <v>4.7007300000000001</v>
      </c>
      <c r="I11" s="3" t="str">
        <f>VLOOKUP($A11,'Summary Data (40)'!$C$2:$L$247,4,0)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9.0119192235263625</v>
      </c>
      <c r="N11" s="3">
        <f t="shared" si="1"/>
        <v>8.1797237236574212</v>
      </c>
      <c r="O11" s="3">
        <f t="shared" si="2"/>
        <v>1.5015515309172709</v>
      </c>
      <c r="P11" s="3">
        <f t="shared" si="3"/>
        <v>6.6781721927401501</v>
      </c>
      <c r="Q11" s="5">
        <f t="shared" si="4"/>
        <v>4.4475144910015674</v>
      </c>
      <c r="R11" s="3">
        <f t="shared" si="5"/>
        <v>-85.071579131103505</v>
      </c>
      <c r="S11" s="3">
        <f t="shared" si="6"/>
        <v>34.310536924626028</v>
      </c>
      <c r="T11" s="3">
        <f t="shared" si="7"/>
        <v>119.38211605572954</v>
      </c>
      <c r="U11" s="3">
        <f>VLOOKUP($A11,'Summary Data (40)'!$C$2:$N$247,11,0)</f>
        <v>0</v>
      </c>
      <c r="V11" s="3">
        <f>VLOOKUP($A11,'Summary Data (40)'!$C$2:$N$247,12,1)</f>
        <v>0</v>
      </c>
      <c r="W11" s="3">
        <f>VLOOKUP($A11,'Summary Data (40)'!$C$2:$N$247,11,1)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(40)'!$C$2:$L$247,3,0)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(40)'!$C$2:$L$247,5,1)</f>
        <v>-0.98252980000000001</v>
      </c>
      <c r="G12" s="3">
        <f>VLOOKUP($A12,'Summary Data (40)'!$C$2:$L$247,6,1)</f>
        <v>1.65</v>
      </c>
      <c r="H12" s="3">
        <f>VLOOKUP($A12,'Summary Data (40)'!$C$2:$L$247,7,1)</f>
        <v>-4.6331769999999999</v>
      </c>
      <c r="I12" s="3" t="str">
        <f>VLOOKUP($A12,'Summary Data (40)'!$C$2:$L$247,4,0)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7.4246289584609571</v>
      </c>
      <c r="N12" s="3">
        <f t="shared" si="1"/>
        <v>9.3035886824825322</v>
      </c>
      <c r="O12" s="3">
        <f t="shared" si="2"/>
        <v>4.3329067610554466</v>
      </c>
      <c r="P12" s="3">
        <f t="shared" si="3"/>
        <v>4.9706819214270856</v>
      </c>
      <c r="Q12" s="5">
        <f t="shared" si="4"/>
        <v>1.1471933728424575</v>
      </c>
      <c r="R12" s="3">
        <f t="shared" si="5"/>
        <v>-19.074748100261683</v>
      </c>
      <c r="S12" s="3">
        <f t="shared" si="6"/>
        <v>-70.559646996361508</v>
      </c>
      <c r="T12" s="3">
        <f t="shared" si="7"/>
        <v>51.484898896099821</v>
      </c>
      <c r="U12" s="3">
        <f>VLOOKUP($A12,'Summary Data (40)'!$C$2:$N$247,11,0)</f>
        <v>0</v>
      </c>
      <c r="V12" s="3">
        <f>VLOOKUP($A12,'Summary Data (40)'!$C$2:$N$247,12,1)</f>
        <v>0</v>
      </c>
      <c r="W12" s="3">
        <f>VLOOKUP($A12,'Summary Data (40)'!$C$2:$N$247,11,1)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(40)'!$C$2:$L$247,3,0)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(40)'!$C$2:$L$247,5,1)</f>
        <v>-2.0567989999999998</v>
      </c>
      <c r="G13" s="3">
        <f>VLOOKUP($A13,'Summary Data (40)'!$C$2:$L$247,6,1)</f>
        <v>1.65</v>
      </c>
      <c r="H13" s="3">
        <f>VLOOKUP($A13,'Summary Data (40)'!$C$2:$L$247,7,1)</f>
        <v>4.2445110000000001</v>
      </c>
      <c r="I13" s="3" t="str">
        <f>VLOOKUP($A13,'Summary Data (40)'!$C$2:$L$247,4,0)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8.4481495032653164</v>
      </c>
      <c r="N13" s="3">
        <f t="shared" si="1"/>
        <v>10.238096009098664</v>
      </c>
      <c r="O13" s="3">
        <f t="shared" si="2"/>
        <v>4.3718971854333439</v>
      </c>
      <c r="P13" s="3">
        <f t="shared" si="3"/>
        <v>5.8661988236653198</v>
      </c>
      <c r="Q13" s="5">
        <f t="shared" si="4"/>
        <v>1.3417970676919888</v>
      </c>
      <c r="R13" s="3">
        <f t="shared" si="5"/>
        <v>177.02371934116897</v>
      </c>
      <c r="S13" s="3">
        <f t="shared" si="6"/>
        <v>122.97819758231593</v>
      </c>
      <c r="T13" s="3">
        <f t="shared" si="7"/>
        <v>54.045521758853042</v>
      </c>
      <c r="U13" s="3">
        <f>VLOOKUP($A13,'Summary Data (40)'!$C$2:$N$247,11,0)</f>
        <v>0</v>
      </c>
      <c r="V13" s="3">
        <f>VLOOKUP($A13,'Summary Data (40)'!$C$2:$N$247,12,1)</f>
        <v>0</v>
      </c>
      <c r="W13" s="3">
        <f>VLOOKUP($A13,'Summary Data (40)'!$C$2:$N$247,11,1)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(40)'!$C$2:$L$247,3,0)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(40)'!$C$2:$L$247,5,1)</f>
        <v>11.2074</v>
      </c>
      <c r="G14" s="3">
        <f>VLOOKUP($A14,'Summary Data (40)'!$C$2:$L$247,6,1)</f>
        <v>1.65</v>
      </c>
      <c r="H14" s="3">
        <f>VLOOKUP($A14,'Summary Data (40)'!$C$2:$L$247,7,1)</f>
        <v>-1.055579</v>
      </c>
      <c r="I14" s="3" t="str">
        <f>VLOOKUP($A14,'Summary Data (40)'!$C$2:$L$247,4,0)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8.3444312850691613</v>
      </c>
      <c r="N14" s="3">
        <f t="shared" si="1"/>
        <v>15.192441852356749</v>
      </c>
      <c r="O14" s="3">
        <f t="shared" si="2"/>
        <v>8.0292617967033557</v>
      </c>
      <c r="P14" s="3">
        <f t="shared" si="3"/>
        <v>7.1631800556533936</v>
      </c>
      <c r="Q14" s="5">
        <f t="shared" si="4"/>
        <v>0.89213432529930004</v>
      </c>
      <c r="R14" s="3">
        <f t="shared" si="5"/>
        <v>23.666151625811782</v>
      </c>
      <c r="S14" s="3">
        <f t="shared" si="6"/>
        <v>1.3216720029060536</v>
      </c>
      <c r="T14" s="3">
        <f t="shared" si="7"/>
        <v>22.34447962290573</v>
      </c>
      <c r="U14" s="3">
        <f>VLOOKUP($A14,'Summary Data (40)'!$C$2:$N$247,11,0)</f>
        <v>0</v>
      </c>
      <c r="V14" s="3">
        <f>VLOOKUP($A14,'Summary Data (40)'!$C$2:$N$247,12,1)</f>
        <v>0</v>
      </c>
      <c r="W14" s="3">
        <f>VLOOKUP($A14,'Summary Data (40)'!$C$2:$N$247,11,1)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(40)'!$C$2:$L$247,3,0)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(40)'!$C$2:$L$247,5,1)</f>
        <v>4.0488160000000004</v>
      </c>
      <c r="G15" s="3">
        <f>VLOOKUP($A15,'Summary Data (40)'!$C$2:$L$247,6,1)</f>
        <v>1.65</v>
      </c>
      <c r="H15" s="3">
        <f>VLOOKUP($A15,'Summary Data (40)'!$C$2:$L$247,7,1)</f>
        <v>-9.9874100000000006</v>
      </c>
      <c r="I15" s="3" t="str">
        <f>VLOOKUP($A15,'Summary Data (40)'!$C$2:$L$247,4,0)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11.752384548760986</v>
      </c>
      <c r="N15" s="3">
        <f t="shared" si="1"/>
        <v>12.966127827148552</v>
      </c>
      <c r="O15" s="3">
        <f t="shared" si="2"/>
        <v>1.5015515309172709</v>
      </c>
      <c r="P15" s="3">
        <f t="shared" si="3"/>
        <v>11.464576296231282</v>
      </c>
      <c r="Q15" s="5">
        <f t="shared" si="4"/>
        <v>7.6351534131018326</v>
      </c>
      <c r="R15" s="3">
        <f t="shared" si="5"/>
        <v>-85.071579131103505</v>
      </c>
      <c r="S15" s="3">
        <f t="shared" si="6"/>
        <v>-51.005871355630042</v>
      </c>
      <c r="T15" s="3">
        <f t="shared" si="7"/>
        <v>34.065707775473463</v>
      </c>
      <c r="U15" s="3">
        <f>VLOOKUP($A15,'Summary Data (40)'!$C$2:$N$247,11,0)</f>
        <v>0</v>
      </c>
      <c r="V15" s="3">
        <f>VLOOKUP($A15,'Summary Data (40)'!$C$2:$N$247,12,1)</f>
        <v>0</v>
      </c>
      <c r="W15" s="3">
        <f>VLOOKUP($A15,'Summary Data (40)'!$C$2:$N$247,11,1)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(40)'!$C$2:$L$247,3,0)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(40)'!$C$2:$L$247,5,1)</f>
        <v>2.9154450000000001</v>
      </c>
      <c r="G16" s="3">
        <f>VLOOKUP($A16,'Summary Data (40)'!$C$2:$L$247,6,1)</f>
        <v>1.65</v>
      </c>
      <c r="H16" s="3">
        <f>VLOOKUP($A16,'Summary Data (40)'!$C$2:$L$247,7,1)</f>
        <v>-0.76840379999999997</v>
      </c>
      <c r="I16" s="3" t="str">
        <f>VLOOKUP($A16,'Summary Data (40)'!$C$2:$L$247,4,0)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4.5391260844219161</v>
      </c>
      <c r="N16" s="3">
        <f t="shared" si="1"/>
        <v>8.5448632945108862</v>
      </c>
      <c r="O16" s="3">
        <f t="shared" si="2"/>
        <v>4.3329067610554466</v>
      </c>
      <c r="P16" s="3">
        <f t="shared" si="3"/>
        <v>4.2119565334554396</v>
      </c>
      <c r="Q16" s="5">
        <f t="shared" si="4"/>
        <v>0.9720856611346641</v>
      </c>
      <c r="R16" s="3">
        <f t="shared" si="5"/>
        <v>-19.074748100261683</v>
      </c>
      <c r="S16" s="3">
        <f t="shared" si="6"/>
        <v>-35.059544116061694</v>
      </c>
      <c r="T16" s="3">
        <f t="shared" si="7"/>
        <v>15.984796015800011</v>
      </c>
      <c r="U16" s="3">
        <f>VLOOKUP($A16,'Summary Data (40)'!$C$2:$N$247,11,0)</f>
        <v>0</v>
      </c>
      <c r="V16" s="3">
        <f>VLOOKUP($A16,'Summary Data (40)'!$C$2:$N$247,12,1)</f>
        <v>0</v>
      </c>
      <c r="W16" s="3">
        <f>VLOOKUP($A16,'Summary Data (40)'!$C$2:$N$247,11,1)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(40)'!$C$2:$L$247,3,0)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(40)'!$C$2:$L$247,5,1)</f>
        <v>-7.8584379999999996</v>
      </c>
      <c r="G17" s="3">
        <f>VLOOKUP($A17,'Summary Data (40)'!$C$2:$L$247,6,1)</f>
        <v>1.65</v>
      </c>
      <c r="H17" s="3">
        <f>VLOOKUP($A17,'Summary Data (40)'!$C$2:$L$247,7,1)</f>
        <v>-9.8943600000000007</v>
      </c>
      <c r="I17" s="3" t="str">
        <f>VLOOKUP($A17,'Summary Data (40)'!$C$2:$L$247,4,0)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10.66481279954993</v>
      </c>
      <c r="N17" s="3">
        <f t="shared" si="1"/>
        <v>14.957204692637056</v>
      </c>
      <c r="O17" s="3">
        <f t="shared" si="2"/>
        <v>8.0641771433916301</v>
      </c>
      <c r="P17" s="3">
        <f t="shared" si="3"/>
        <v>6.893027549245426</v>
      </c>
      <c r="Q17" s="5">
        <f t="shared" si="4"/>
        <v>0.85477134575274938</v>
      </c>
      <c r="R17" s="3">
        <f t="shared" si="5"/>
        <v>174.57078263739461</v>
      </c>
      <c r="S17" s="3">
        <f t="shared" si="6"/>
        <v>-141.93782225856955</v>
      </c>
      <c r="T17" s="3">
        <f t="shared" si="7"/>
        <v>43.49139510403586</v>
      </c>
      <c r="U17" s="3">
        <f>VLOOKUP($A17,'Summary Data (40)'!$C$2:$N$247,11,0)</f>
        <v>0</v>
      </c>
      <c r="V17" s="3">
        <f>VLOOKUP($A17,'Summary Data (40)'!$C$2:$N$247,12,1)</f>
        <v>0</v>
      </c>
      <c r="W17" s="3">
        <f>VLOOKUP($A17,'Summary Data (40)'!$C$2:$N$247,11,1)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(40)'!$C$2:$L$247,3,0)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(40)'!$C$2:$L$247,5,1)</f>
        <v>-5.5818459999999996</v>
      </c>
      <c r="G18" s="3">
        <f>VLOOKUP($A18,'Summary Data (40)'!$C$2:$L$247,6,1)</f>
        <v>1.65</v>
      </c>
      <c r="H18" s="3">
        <f>VLOOKUP($A18,'Summary Data (40)'!$C$2:$L$247,7,1)</f>
        <v>4.5178209999999996</v>
      </c>
      <c r="I18" s="3" t="str">
        <f>VLOOKUP($A18,'Summary Data (40)'!$C$2:$L$247,4,0)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10.825511381812731</v>
      </c>
      <c r="N18" s="3">
        <f t="shared" si="1"/>
        <v>9.3532722059051068</v>
      </c>
      <c r="O18" s="3">
        <f t="shared" si="2"/>
        <v>2.5489458605470614</v>
      </c>
      <c r="P18" s="3">
        <f t="shared" si="3"/>
        <v>6.8043263453580458</v>
      </c>
      <c r="Q18" s="5">
        <f t="shared" si="4"/>
        <v>2.6694667982856584</v>
      </c>
      <c r="R18" s="3">
        <f t="shared" si="5"/>
        <v>-77.654050540796021</v>
      </c>
      <c r="S18" s="3">
        <f t="shared" si="6"/>
        <v>163.2164576043341</v>
      </c>
      <c r="T18" s="3">
        <f t="shared" si="7"/>
        <v>119.12949185486988</v>
      </c>
      <c r="U18" s="3">
        <f>VLOOKUP($A18,'Summary Data (40)'!$C$2:$N$247,11,0)</f>
        <v>0</v>
      </c>
      <c r="V18" s="3">
        <f>VLOOKUP($A18,'Summary Data (40)'!$C$2:$N$247,12,1)</f>
        <v>0</v>
      </c>
      <c r="W18" s="3">
        <f>VLOOKUP($A18,'Summary Data (40)'!$C$2:$N$247,11,1)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(40)'!$C$2:$L$247,3,0)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(40)'!$C$2:$L$247,5,1)</f>
        <v>9.8078109999999992</v>
      </c>
      <c r="G19" s="3">
        <f>VLOOKUP($A19,'Summary Data (40)'!$C$2:$L$247,6,1)</f>
        <v>1.65</v>
      </c>
      <c r="H19" s="3">
        <f>VLOOKUP($A19,'Summary Data (40)'!$C$2:$L$247,7,1)</f>
        <v>-0.91410860000000005</v>
      </c>
      <c r="I19" s="3" t="str">
        <f>VLOOKUP($A19,'Summary Data (40)'!$C$2:$L$247,4,0)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6.9904039075517623</v>
      </c>
      <c r="N19" s="3">
        <f t="shared" si="1"/>
        <v>13.797581887530688</v>
      </c>
      <c r="O19" s="3">
        <f t="shared" si="2"/>
        <v>8.0292617967033557</v>
      </c>
      <c r="P19" s="3">
        <f t="shared" si="3"/>
        <v>5.7683200908273324</v>
      </c>
      <c r="Q19" s="5">
        <f t="shared" si="4"/>
        <v>0.71841225717608093</v>
      </c>
      <c r="R19" s="3">
        <f t="shared" si="5"/>
        <v>23.666151625811782</v>
      </c>
      <c r="S19" s="3">
        <f t="shared" si="6"/>
        <v>2.0430590540282201</v>
      </c>
      <c r="T19" s="3">
        <f t="shared" si="7"/>
        <v>21.623092571783562</v>
      </c>
      <c r="U19" s="3">
        <f>VLOOKUP($A19,'Summary Data (40)'!$C$2:$N$247,11,0)</f>
        <v>0</v>
      </c>
      <c r="V19" s="3">
        <f>VLOOKUP($A19,'Summary Data (40)'!$C$2:$N$247,12,1)</f>
        <v>0</v>
      </c>
      <c r="W19" s="3">
        <f>VLOOKUP($A19,'Summary Data (40)'!$C$2:$N$247,11,1)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(40)'!$C$2:$L$247,3,0)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(40)'!$C$2:$L$247,5,1)</f>
        <v>-6.6771529999999997</v>
      </c>
      <c r="G20" s="3">
        <f>VLOOKUP($A20,'Summary Data (40)'!$C$2:$L$247,6,1)</f>
        <v>1.65</v>
      </c>
      <c r="H20" s="3">
        <f>VLOOKUP($A20,'Summary Data (40)'!$C$2:$L$247,7,1)</f>
        <v>-5.5093670000000001</v>
      </c>
      <c r="I20" s="3" t="str">
        <f>VLOOKUP($A20,'Summary Data (40)'!$C$2:$L$247,4,0)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10.259554002299417</v>
      </c>
      <c r="N20" s="3">
        <f t="shared" si="1"/>
        <v>10.610684673389272</v>
      </c>
      <c r="O20" s="3">
        <f t="shared" si="2"/>
        <v>7.8871175977032326</v>
      </c>
      <c r="P20" s="3">
        <f t="shared" si="3"/>
        <v>2.7235670756860397</v>
      </c>
      <c r="Q20" s="5">
        <f t="shared" si="4"/>
        <v>0.34531843121993716</v>
      </c>
      <c r="R20" s="3">
        <f t="shared" si="5"/>
        <v>-63.65586590726528</v>
      </c>
      <c r="S20" s="3">
        <f t="shared" si="6"/>
        <v>-129.10870427646154</v>
      </c>
      <c r="T20" s="3">
        <f t="shared" si="7"/>
        <v>65.452838369196257</v>
      </c>
      <c r="U20" s="3">
        <f>VLOOKUP($A20,'Summary Data (40)'!$C$2:$N$247,11,0)</f>
        <v>0</v>
      </c>
      <c r="V20" s="3">
        <f>VLOOKUP($A20,'Summary Data (40)'!$C$2:$N$247,12,1)</f>
        <v>0</v>
      </c>
      <c r="W20" s="3">
        <f>VLOOKUP($A20,'Summary Data (40)'!$C$2:$N$247,11,1)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(40)'!$C$2:$L$247,3,0)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(40)'!$C$2:$L$247,5,1)</f>
        <v>-11.66084</v>
      </c>
      <c r="G21" s="3">
        <f>VLOOKUP($A21,'Summary Data (40)'!$C$2:$L$247,6,1)</f>
        <v>1.65</v>
      </c>
      <c r="H21" s="3">
        <f>VLOOKUP($A21,'Summary Data (40)'!$C$2:$L$247,7,1)</f>
        <v>2.1165210000000001</v>
      </c>
      <c r="I21" s="3" t="str">
        <f>VLOOKUP($A21,'Summary Data (40)'!$C$2:$L$247,4,0)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15.82661312963203</v>
      </c>
      <c r="N21" s="3">
        <f t="shared" si="1"/>
        <v>15.036823400407449</v>
      </c>
      <c r="O21" s="3">
        <f t="shared" si="2"/>
        <v>2.5489458605470614</v>
      </c>
      <c r="P21" s="3">
        <f t="shared" si="3"/>
        <v>12.487877539860389</v>
      </c>
      <c r="Q21" s="5">
        <f t="shared" si="4"/>
        <v>4.8992321622634263</v>
      </c>
      <c r="R21" s="3">
        <f t="shared" si="5"/>
        <v>-77.654050540796021</v>
      </c>
      <c r="S21" s="3">
        <f t="shared" si="6"/>
        <v>178.85864030068893</v>
      </c>
      <c r="T21" s="3">
        <f t="shared" si="7"/>
        <v>103.48730915851502</v>
      </c>
      <c r="U21" s="3">
        <f>VLOOKUP($A21,'Summary Data (40)'!$C$2:$N$247,11,0)</f>
        <v>0</v>
      </c>
      <c r="V21" s="3">
        <f>VLOOKUP($A21,'Summary Data (40)'!$C$2:$N$247,12,1)</f>
        <v>0</v>
      </c>
      <c r="W21" s="3">
        <f>VLOOKUP($A21,'Summary Data (40)'!$C$2:$N$247,11,1)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(40)'!$C$2:$L$247,3,0)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(40)'!$C$2:$L$247,5,1)</f>
        <v>11.847910000000001</v>
      </c>
      <c r="G22" s="3">
        <f>VLOOKUP($A22,'Summary Data (40)'!$C$2:$L$247,6,1)</f>
        <v>1.65</v>
      </c>
      <c r="H22" s="3">
        <f>VLOOKUP($A22,'Summary Data (40)'!$C$2:$L$247,7,1)</f>
        <v>-6.6603680000000001</v>
      </c>
      <c r="I22" s="3" t="str">
        <f>VLOOKUP($A22,'Summary Data (40)'!$C$2:$L$247,4,0)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16.678212580115535</v>
      </c>
      <c r="N22" s="3">
        <f t="shared" si="1"/>
        <v>17.326925858429821</v>
      </c>
      <c r="O22" s="3">
        <f t="shared" si="2"/>
        <v>1.5015515309172709</v>
      </c>
      <c r="P22" s="3">
        <f t="shared" si="3"/>
        <v>15.82537432751255</v>
      </c>
      <c r="Q22" s="5">
        <f t="shared" si="4"/>
        <v>10.539348135355111</v>
      </c>
      <c r="R22" s="3">
        <f t="shared" si="5"/>
        <v>-85.071579131103505</v>
      </c>
      <c r="S22" s="3">
        <f t="shared" si="6"/>
        <v>-22.928886127919476</v>
      </c>
      <c r="T22" s="3">
        <f t="shared" si="7"/>
        <v>62.142693003184029</v>
      </c>
      <c r="U22" s="3">
        <f>VLOOKUP($A22,'Summary Data (40)'!$C$2:$N$247,11,0)</f>
        <v>0</v>
      </c>
      <c r="V22" s="3">
        <f>VLOOKUP($A22,'Summary Data (40)'!$C$2:$N$247,12,1)</f>
        <v>0</v>
      </c>
      <c r="W22" s="3">
        <f>VLOOKUP($A22,'Summary Data (40)'!$C$2:$N$247,11,1)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(40)'!$C$2:$L$247,3,0)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(40)'!$C$2:$L$247,5,1)</f>
        <v>-7.9565770000000002</v>
      </c>
      <c r="G23" s="3">
        <f>VLOOKUP($A23,'Summary Data (40)'!$C$2:$L$247,6,1)</f>
        <v>1.65</v>
      </c>
      <c r="H23" s="3">
        <f>VLOOKUP($A23,'Summary Data (40)'!$C$2:$L$247,7,1)</f>
        <v>7.1829219999999996</v>
      </c>
      <c r="I23" s="3" t="str">
        <f>VLOOKUP($A23,'Summary Data (40)'!$C$2:$L$247,4,0)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13.348845413106444</v>
      </c>
      <c r="N23" s="3">
        <f t="shared" si="1"/>
        <v>16.263147106726084</v>
      </c>
      <c r="O23" s="3">
        <f t="shared" si="2"/>
        <v>4.3718971854333439</v>
      </c>
      <c r="P23" s="3">
        <f t="shared" si="3"/>
        <v>11.89124992129274</v>
      </c>
      <c r="Q23" s="5">
        <f t="shared" si="4"/>
        <v>2.7199289957945512</v>
      </c>
      <c r="R23" s="3">
        <f t="shared" si="5"/>
        <v>177.02371934116897</v>
      </c>
      <c r="S23" s="3">
        <f t="shared" si="6"/>
        <v>134.86461734045633</v>
      </c>
      <c r="T23" s="3">
        <f t="shared" si="7"/>
        <v>42.159102000712636</v>
      </c>
      <c r="U23" s="3">
        <f>VLOOKUP($A23,'Summary Data (40)'!$C$2:$N$247,11,0)</f>
        <v>0</v>
      </c>
      <c r="V23" s="3">
        <f>VLOOKUP($A23,'Summary Data (40)'!$C$2:$N$247,12,1)</f>
        <v>0</v>
      </c>
      <c r="W23" s="3">
        <f>VLOOKUP($A23,'Summary Data (40)'!$C$2:$N$247,11,1)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(40)'!$C$2:$L$247,3,0)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(40)'!$C$2:$L$247,5,1)</f>
        <v>-0.57042649999999995</v>
      </c>
      <c r="G24" s="3">
        <f>VLOOKUP($A24,'Summary Data (40)'!$C$2:$L$247,6,1)</f>
        <v>1.65</v>
      </c>
      <c r="H24" s="3">
        <f>VLOOKUP($A24,'Summary Data (40)'!$C$2:$L$247,7,1)</f>
        <v>-7.3413839999999997</v>
      </c>
      <c r="I24" s="3" t="str">
        <f>VLOOKUP($A24,'Summary Data (40)'!$C$2:$L$247,4,0)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12.005509841750087</v>
      </c>
      <c r="N24" s="3">
        <f t="shared" si="1"/>
        <v>3.2364816578127318</v>
      </c>
      <c r="O24" s="3">
        <f t="shared" si="2"/>
        <v>8.8659173242253964</v>
      </c>
      <c r="P24" s="3">
        <f t="shared" si="3"/>
        <v>-5.6294356664126646</v>
      </c>
      <c r="Q24" s="5">
        <f t="shared" si="4"/>
        <v>-0.63495242066274293</v>
      </c>
      <c r="R24" s="3">
        <f t="shared" si="5"/>
        <v>111.35858600069317</v>
      </c>
      <c r="S24" s="3">
        <f t="shared" si="6"/>
        <v>-85.044504622814813</v>
      </c>
      <c r="T24" s="3">
        <f t="shared" si="7"/>
        <v>163.59690937649202</v>
      </c>
      <c r="U24" s="3">
        <f>VLOOKUP($A24,'Summary Data (40)'!$C$2:$N$247,11,0)</f>
        <v>0</v>
      </c>
      <c r="V24" s="3">
        <f>VLOOKUP($A24,'Summary Data (40)'!$C$2:$N$247,12,1)</f>
        <v>0</v>
      </c>
      <c r="W24" s="3">
        <f>VLOOKUP($A24,'Summary Data (40)'!$C$2:$N$247,11,1)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(40)'!$C$2:$L$247,3,0)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(40)'!$C$2:$L$247,5,1)</f>
        <v>-6.2834269999999997</v>
      </c>
      <c r="G25" s="3">
        <f>VLOOKUP($A25,'Summary Data (40)'!$C$2:$L$247,6,1)</f>
        <v>1.65</v>
      </c>
      <c r="H25" s="3">
        <f>VLOOKUP($A25,'Summary Data (40)'!$C$2:$L$247,7,1)</f>
        <v>-10.23076</v>
      </c>
      <c r="I25" s="3" t="str">
        <f>VLOOKUP($A25,'Summary Data (40)'!$C$2:$L$247,4,0)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10.547126239024969</v>
      </c>
      <c r="N25" s="3">
        <f t="shared" si="1"/>
        <v>13.979266398989934</v>
      </c>
      <c r="O25" s="3">
        <f t="shared" si="2"/>
        <v>8.0641771433916301</v>
      </c>
      <c r="P25" s="3">
        <f t="shared" si="3"/>
        <v>5.9150892555983035</v>
      </c>
      <c r="Q25" s="5">
        <f t="shared" si="4"/>
        <v>0.73350189987400705</v>
      </c>
      <c r="R25" s="3">
        <f t="shared" si="5"/>
        <v>174.57078263739461</v>
      </c>
      <c r="S25" s="3">
        <f t="shared" si="6"/>
        <v>-136.86578353273185</v>
      </c>
      <c r="T25" s="3">
        <f t="shared" si="7"/>
        <v>48.563433829873532</v>
      </c>
      <c r="U25" s="3">
        <f>VLOOKUP($A25,'Summary Data (40)'!$C$2:$N$247,11,0)</f>
        <v>0</v>
      </c>
      <c r="V25" s="3">
        <f>VLOOKUP($A25,'Summary Data (40)'!$C$2:$N$247,12,1)</f>
        <v>0</v>
      </c>
      <c r="W25" s="3">
        <f>VLOOKUP($A25,'Summary Data (40)'!$C$2:$N$247,11,1)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(40)'!$C$2:$L$247,3,0)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(40)'!$C$2:$L$247,5,1)</f>
        <v>3.5412279999999998</v>
      </c>
      <c r="G26" s="3">
        <f>VLOOKUP($A26,'Summary Data (40)'!$C$2:$L$247,6,1)</f>
        <v>1.65</v>
      </c>
      <c r="H26" s="3">
        <f>VLOOKUP($A26,'Summary Data (40)'!$C$2:$L$247,7,1)</f>
        <v>-10.37555</v>
      </c>
      <c r="I26" s="3" t="str">
        <f>VLOOKUP($A26,'Summary Data (40)'!$C$2:$L$247,4,0)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13.565597762519866</v>
      </c>
      <c r="N26" s="3">
        <f t="shared" si="1"/>
        <v>16.394177825511228</v>
      </c>
      <c r="O26" s="3">
        <f t="shared" si="2"/>
        <v>4.3329067610554466</v>
      </c>
      <c r="P26" s="3">
        <f t="shared" si="3"/>
        <v>12.061271064455781</v>
      </c>
      <c r="Q26" s="5">
        <f t="shared" si="4"/>
        <v>2.7836442669072787</v>
      </c>
      <c r="R26" s="3">
        <f t="shared" si="5"/>
        <v>-19.074748100261683</v>
      </c>
      <c r="S26" s="3">
        <f t="shared" si="6"/>
        <v>-62.301875561306645</v>
      </c>
      <c r="T26" s="3">
        <f t="shared" si="7"/>
        <v>43.227127461044958</v>
      </c>
      <c r="U26" s="3">
        <f>VLOOKUP($A26,'Summary Data (40)'!$C$2:$N$247,11,0)</f>
        <v>0</v>
      </c>
      <c r="V26" s="3">
        <f>VLOOKUP($A26,'Summary Data (40)'!$C$2:$N$247,12,1)</f>
        <v>0</v>
      </c>
      <c r="W26" s="3">
        <f>VLOOKUP($A26,'Summary Data (40)'!$C$2:$N$247,11,1)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(40)'!$C$2:$L$247,3,0)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(40)'!$C$2:$L$247,5,1)</f>
        <v>-1.96414</v>
      </c>
      <c r="G27" s="3">
        <f>VLOOKUP($A27,'Summary Data (40)'!$C$2:$L$247,6,1)</f>
        <v>1.65</v>
      </c>
      <c r="H27" s="3">
        <f>VLOOKUP($A27,'Summary Data (40)'!$C$2:$L$247,7,1)</f>
        <v>-6.7665170000000003</v>
      </c>
      <c r="I27" s="3" t="str">
        <f>VLOOKUP($A27,'Summary Data (40)'!$C$2:$L$247,4,0)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11.109669027063273</v>
      </c>
      <c r="N27" s="3">
        <f t="shared" si="1"/>
        <v>2.8742387292792855</v>
      </c>
      <c r="O27" s="3">
        <f t="shared" si="2"/>
        <v>8.8659173242253964</v>
      </c>
      <c r="P27" s="3">
        <f t="shared" si="3"/>
        <v>-5.9916785949461104</v>
      </c>
      <c r="Q27" s="5">
        <f t="shared" si="4"/>
        <v>-0.67581033928371259</v>
      </c>
      <c r="R27" s="3">
        <f t="shared" si="5"/>
        <v>111.35858600069317</v>
      </c>
      <c r="S27" s="3">
        <f t="shared" si="6"/>
        <v>-112.80708617846692</v>
      </c>
      <c r="T27" s="3">
        <f t="shared" si="7"/>
        <v>135.83432782083992</v>
      </c>
      <c r="U27" s="3">
        <f>VLOOKUP($A27,'Summary Data (40)'!$C$2:$N$247,11,0)</f>
        <v>0</v>
      </c>
      <c r="V27" s="3">
        <f>VLOOKUP($A27,'Summary Data (40)'!$C$2:$N$247,12,1)</f>
        <v>0</v>
      </c>
      <c r="W27" s="3">
        <f>VLOOKUP($A27,'Summary Data (40)'!$C$2:$N$247,11,1)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(40)'!$C$2:$L$247,3,0)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(40)'!$C$2:$L$247,5,1)</f>
        <v>-4.7117190000000004</v>
      </c>
      <c r="G28" s="3">
        <f>VLOOKUP($A28,'Summary Data (40)'!$C$2:$L$247,6,1)</f>
        <v>1.65</v>
      </c>
      <c r="H28" s="3">
        <f>VLOOKUP($A28,'Summary Data (40)'!$C$2:$L$247,7,1)</f>
        <v>5.3315010000000003</v>
      </c>
      <c r="I28" s="3" t="str">
        <f>VLOOKUP($A28,'Summary Data (40)'!$C$2:$L$247,4,0)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10.51313855506347</v>
      </c>
      <c r="N28" s="3">
        <f t="shared" si="1"/>
        <v>8.8155770422566206</v>
      </c>
      <c r="O28" s="3">
        <f t="shared" si="2"/>
        <v>2.5489458605470614</v>
      </c>
      <c r="P28" s="3">
        <f t="shared" si="3"/>
        <v>6.2666311817095597</v>
      </c>
      <c r="Q28" s="5">
        <f t="shared" si="4"/>
        <v>2.4585187463984028</v>
      </c>
      <c r="R28" s="3">
        <f t="shared" si="5"/>
        <v>-77.654050540796021</v>
      </c>
      <c r="S28" s="3">
        <f t="shared" si="6"/>
        <v>156.50497608918866</v>
      </c>
      <c r="T28" s="3">
        <f t="shared" si="7"/>
        <v>125.84097337001532</v>
      </c>
      <c r="U28" s="3">
        <f>VLOOKUP($A28,'Summary Data (40)'!$C$2:$N$247,11,0)</f>
        <v>0</v>
      </c>
      <c r="V28" s="3">
        <f>VLOOKUP($A28,'Summary Data (40)'!$C$2:$N$247,12,1)</f>
        <v>0</v>
      </c>
      <c r="W28" s="3">
        <f>VLOOKUP($A28,'Summary Data (40)'!$C$2:$N$247,11,1)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(40)'!$C$2:$L$247,3,0)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(40)'!$C$2:$L$247,5,1)</f>
        <v>3.0340419999999999</v>
      </c>
      <c r="G29" s="3">
        <f>VLOOKUP($A29,'Summary Data (40)'!$C$2:$L$247,6,1)</f>
        <v>1.65</v>
      </c>
      <c r="H29" s="3">
        <f>VLOOKUP($A29,'Summary Data (40)'!$C$2:$L$247,7,1)</f>
        <v>-7.6853550000000004</v>
      </c>
      <c r="I29" s="3" t="str">
        <f>VLOOKUP($A29,'Summary Data (40)'!$C$2:$L$247,4,0)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10.83804636591803</v>
      </c>
      <c r="N29" s="3">
        <f t="shared" si="1"/>
        <v>13.79979664233459</v>
      </c>
      <c r="O29" s="3">
        <f t="shared" si="2"/>
        <v>4.3329067610554466</v>
      </c>
      <c r="P29" s="3">
        <f t="shared" si="3"/>
        <v>9.466889881279144</v>
      </c>
      <c r="Q29" s="5">
        <f t="shared" si="4"/>
        <v>2.1848819749292545</v>
      </c>
      <c r="R29" s="3">
        <f t="shared" si="5"/>
        <v>-19.074748100261683</v>
      </c>
      <c r="S29" s="3">
        <f t="shared" si="6"/>
        <v>-58.972767758196106</v>
      </c>
      <c r="T29" s="3">
        <f t="shared" si="7"/>
        <v>39.898019657934427</v>
      </c>
      <c r="U29" s="3">
        <f>VLOOKUP($A29,'Summary Data (40)'!$C$2:$N$247,11,0)</f>
        <v>0</v>
      </c>
      <c r="V29" s="3">
        <f>VLOOKUP($A29,'Summary Data (40)'!$C$2:$N$247,12,1)</f>
        <v>0</v>
      </c>
      <c r="W29" s="3">
        <f>VLOOKUP($A29,'Summary Data (40)'!$C$2:$N$247,11,1)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(40)'!$C$2:$L$247,3,0)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(40)'!$C$2:$L$247,5,1)</f>
        <v>2.6301030000000001</v>
      </c>
      <c r="G30" s="3">
        <f>VLOOKUP($A30,'Summary Data (40)'!$C$2:$L$247,6,1)</f>
        <v>1.65</v>
      </c>
      <c r="H30" s="3">
        <f>VLOOKUP($A30,'Summary Data (40)'!$C$2:$L$247,7,1)</f>
        <v>9.6342929999999996</v>
      </c>
      <c r="I30" s="3" t="str">
        <f>VLOOKUP($A30,'Summary Data (40)'!$C$2:$L$247,4,0)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14.184822031398843</v>
      </c>
      <c r="N30" s="3">
        <f t="shared" si="1"/>
        <v>14.006337447329264</v>
      </c>
      <c r="O30" s="3">
        <f t="shared" si="2"/>
        <v>4.3718971854333439</v>
      </c>
      <c r="P30" s="3">
        <f t="shared" si="3"/>
        <v>9.6344402618959197</v>
      </c>
      <c r="Q30" s="5">
        <f t="shared" si="4"/>
        <v>2.203720685380425</v>
      </c>
      <c r="R30" s="3">
        <f t="shared" si="5"/>
        <v>177.02371934116897</v>
      </c>
      <c r="S30" s="3">
        <f t="shared" si="6"/>
        <v>93.626362972000976</v>
      </c>
      <c r="T30" s="3">
        <f t="shared" si="7"/>
        <v>83.397356369167994</v>
      </c>
      <c r="U30" s="3">
        <f>VLOOKUP($A30,'Summary Data (40)'!$C$2:$N$247,11,0)</f>
        <v>0</v>
      </c>
      <c r="V30" s="3">
        <f>VLOOKUP($A30,'Summary Data (40)'!$C$2:$N$247,12,1)</f>
        <v>0</v>
      </c>
      <c r="W30" s="3">
        <f>VLOOKUP($A30,'Summary Data (40)'!$C$2:$N$247,11,1)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(40)'!$C$2:$L$247,3,0)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(40)'!$C$2:$L$247,5,1)</f>
        <v>-4.3894849999999996</v>
      </c>
      <c r="G31" s="3">
        <f>VLOOKUP($A31,'Summary Data (40)'!$C$2:$L$247,6,1)</f>
        <v>1.65</v>
      </c>
      <c r="H31" s="3">
        <f>VLOOKUP($A31,'Summary Data (40)'!$C$2:$L$247,7,1)</f>
        <v>-10.01183</v>
      </c>
      <c r="I31" s="3" t="str">
        <f>VLOOKUP($A31,'Summary Data (40)'!$C$2:$L$247,4,0)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8.6155191360779284</v>
      </c>
      <c r="N31" s="3">
        <f t="shared" si="1"/>
        <v>10.105695483939984</v>
      </c>
      <c r="O31" s="3">
        <f t="shared" si="2"/>
        <v>1.5015515309172709</v>
      </c>
      <c r="P31" s="3">
        <f t="shared" si="3"/>
        <v>8.6041439530227137</v>
      </c>
      <c r="Q31" s="5">
        <f t="shared" si="4"/>
        <v>5.7301689458280505</v>
      </c>
      <c r="R31" s="3">
        <f t="shared" si="5"/>
        <v>-85.071579131103505</v>
      </c>
      <c r="S31" s="3">
        <f t="shared" si="6"/>
        <v>-91.58478483757213</v>
      </c>
      <c r="T31" s="3">
        <f t="shared" si="7"/>
        <v>6.5132057064686251</v>
      </c>
      <c r="U31" s="3">
        <f>VLOOKUP($A31,'Summary Data (40)'!$C$2:$N$247,11,0)</f>
        <v>0</v>
      </c>
      <c r="V31" s="3">
        <f>VLOOKUP($A31,'Summary Data (40)'!$C$2:$N$247,12,1)</f>
        <v>0</v>
      </c>
      <c r="W31" s="3">
        <f>VLOOKUP($A31,'Summary Data (40)'!$C$2:$N$247,11,1)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(40)'!$C$2:$L$247,3,0)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(40)'!$C$2:$L$247,5,1)</f>
        <v>-4.449757</v>
      </c>
      <c r="G32" s="3">
        <f>VLOOKUP($A32,'Summary Data (40)'!$C$2:$L$247,6,1)</f>
        <v>1.65</v>
      </c>
      <c r="H32" s="3">
        <f>VLOOKUP($A32,'Summary Data (40)'!$C$2:$L$247,7,1)</f>
        <v>-8.4730229999999995</v>
      </c>
      <c r="I32" s="3" t="str">
        <f>VLOOKUP($A32,'Summary Data (40)'!$C$2:$L$247,4,0)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8.5697606569599127</v>
      </c>
      <c r="N32" s="3">
        <f t="shared" si="1"/>
        <v>11.439393166229491</v>
      </c>
      <c r="O32" s="3">
        <f t="shared" si="2"/>
        <v>8.0641771433916301</v>
      </c>
      <c r="P32" s="3">
        <f t="shared" si="3"/>
        <v>3.3752160228378614</v>
      </c>
      <c r="Q32" s="5">
        <f t="shared" si="4"/>
        <v>0.41854438001820898</v>
      </c>
      <c r="R32" s="3">
        <f t="shared" si="5"/>
        <v>174.57078263739461</v>
      </c>
      <c r="S32" s="3">
        <f t="shared" si="6"/>
        <v>-137.01112347206185</v>
      </c>
      <c r="T32" s="3">
        <f t="shared" si="7"/>
        <v>48.41809389054356</v>
      </c>
      <c r="U32" s="3">
        <f>VLOOKUP($A32,'Summary Data (40)'!$C$2:$N$247,11,0)</f>
        <v>0</v>
      </c>
      <c r="V32" s="3">
        <f>VLOOKUP($A32,'Summary Data (40)'!$C$2:$N$247,12,1)</f>
        <v>0</v>
      </c>
      <c r="W32" s="3">
        <f>VLOOKUP($A32,'Summary Data (40)'!$C$2:$N$247,11,1)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(40)'!$C$2:$L$247,3,0)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(40)'!$C$2:$L$247,5,1)</f>
        <v>-5.3679769999999998</v>
      </c>
      <c r="G33" s="3">
        <f>VLOOKUP($A33,'Summary Data (40)'!$C$2:$L$247,6,1)</f>
        <v>1.65</v>
      </c>
      <c r="H33" s="3">
        <f>VLOOKUP($A33,'Summary Data (40)'!$C$2:$L$247,7,1)</f>
        <v>-5.9595140000000004</v>
      </c>
      <c r="I33" s="3" t="str">
        <f>VLOOKUP($A33,'Summary Data (40)'!$C$2:$L$247,4,0)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9.0296695853572064</v>
      </c>
      <c r="N33" s="3">
        <f t="shared" si="1"/>
        <v>10.217172981051315</v>
      </c>
      <c r="O33" s="3">
        <f t="shared" si="2"/>
        <v>7.8871175977032326</v>
      </c>
      <c r="P33" s="3">
        <f t="shared" si="3"/>
        <v>2.3300553833480819</v>
      </c>
      <c r="Q33" s="5">
        <f t="shared" si="4"/>
        <v>0.29542546494128674</v>
      </c>
      <c r="R33" s="3">
        <f t="shared" si="5"/>
        <v>-63.65586590726528</v>
      </c>
      <c r="S33" s="3">
        <f t="shared" si="6"/>
        <v>-121.79985803276435</v>
      </c>
      <c r="T33" s="3">
        <f t="shared" si="7"/>
        <v>58.143992125499068</v>
      </c>
      <c r="U33" s="3">
        <f>VLOOKUP($A33,'Summary Data (40)'!$C$2:$N$247,11,0)</f>
        <v>0</v>
      </c>
      <c r="V33" s="3">
        <f>VLOOKUP($A33,'Summary Data (40)'!$C$2:$N$247,12,1)</f>
        <v>0</v>
      </c>
      <c r="W33" s="3">
        <f>VLOOKUP($A33,'Summary Data (40)'!$C$2:$N$247,11,1)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(40)'!$C$2:$L$247,3,0)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(40)'!$C$2:$L$247,5,1)</f>
        <v>10.19666</v>
      </c>
      <c r="G34" s="3">
        <f>VLOOKUP($A34,'Summary Data (40)'!$C$2:$L$247,6,1)</f>
        <v>1.65</v>
      </c>
      <c r="H34" s="3">
        <f>VLOOKUP($A34,'Summary Data (40)'!$C$2:$L$247,7,1)</f>
        <v>-2.266845</v>
      </c>
      <c r="I34" s="3" t="str">
        <f>VLOOKUP($A34,'Summary Data (40)'!$C$2:$L$247,4,0)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7.9523660491469448</v>
      </c>
      <c r="N34" s="3">
        <f t="shared" si="1"/>
        <v>14.203770527209491</v>
      </c>
      <c r="O34" s="3">
        <f t="shared" si="2"/>
        <v>8.0292617967033557</v>
      </c>
      <c r="P34" s="3">
        <f t="shared" si="3"/>
        <v>6.174508730506135</v>
      </c>
      <c r="Q34" s="5">
        <f t="shared" si="4"/>
        <v>0.76900079818561362</v>
      </c>
      <c r="R34" s="3">
        <f t="shared" si="5"/>
        <v>23.666151625811782</v>
      </c>
      <c r="S34" s="3">
        <f t="shared" si="6"/>
        <v>-3.4746429136053574</v>
      </c>
      <c r="T34" s="3">
        <f t="shared" si="7"/>
        <v>27.14079453941714</v>
      </c>
      <c r="U34" s="3">
        <f>VLOOKUP($A34,'Summary Data (40)'!$C$2:$N$247,11,0)</f>
        <v>0</v>
      </c>
      <c r="V34" s="3">
        <f>VLOOKUP($A34,'Summary Data (40)'!$C$2:$N$247,12,1)</f>
        <v>0</v>
      </c>
      <c r="W34" s="3">
        <f>VLOOKUP($A34,'Summary Data (40)'!$C$2:$N$247,11,1)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(40)'!$C$2:$L$247,3,0)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(40)'!$C$2:$L$247,5,1)</f>
        <v>-6.8503499999999997</v>
      </c>
      <c r="G35" s="3">
        <f>VLOOKUP($A35,'Summary Data (40)'!$C$2:$L$247,6,1)</f>
        <v>1.65</v>
      </c>
      <c r="H35" s="3">
        <f>VLOOKUP($A35,'Summary Data (40)'!$C$2:$L$247,7,1)</f>
        <v>-8.5052970000000006</v>
      </c>
      <c r="I35" s="3" t="str">
        <f>VLOOKUP($A35,'Summary Data (40)'!$C$2:$L$247,4,0)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9.0215657532774767</v>
      </c>
      <c r="N35" s="3">
        <f t="shared" si="1"/>
        <v>13.315488651142662</v>
      </c>
      <c r="O35" s="3">
        <f t="shared" si="2"/>
        <v>8.0641771433916301</v>
      </c>
      <c r="P35" s="3">
        <f t="shared" si="3"/>
        <v>5.2513115077510317</v>
      </c>
      <c r="Q35" s="5">
        <f t="shared" si="4"/>
        <v>0.65118999922445109</v>
      </c>
      <c r="R35" s="3">
        <f t="shared" si="5"/>
        <v>174.57078263739461</v>
      </c>
      <c r="S35" s="3">
        <f t="shared" si="6"/>
        <v>-143.96994800654005</v>
      </c>
      <c r="T35" s="3">
        <f t="shared" si="7"/>
        <v>41.459269356065306</v>
      </c>
      <c r="U35" s="3">
        <f>VLOOKUP($A35,'Summary Data (40)'!$C$2:$N$247,11,0)</f>
        <v>0</v>
      </c>
      <c r="V35" s="3">
        <f>VLOOKUP($A35,'Summary Data (40)'!$C$2:$N$247,12,1)</f>
        <v>0</v>
      </c>
      <c r="W35" s="3">
        <f>VLOOKUP($A35,'Summary Data (40)'!$C$2:$N$247,11,1)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(40)'!$C$2:$L$247,3,0)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(40)'!$C$2:$L$247,5,1)</f>
        <v>12.750159999999999</v>
      </c>
      <c r="G36" s="3">
        <f>VLOOKUP($A36,'Summary Data (40)'!$C$2:$L$247,6,1)</f>
        <v>1.65</v>
      </c>
      <c r="H36" s="3">
        <f>VLOOKUP($A36,'Summary Data (40)'!$C$2:$L$247,7,1)</f>
        <v>-8.7664969999999993</v>
      </c>
      <c r="I36" s="3" t="str">
        <f>VLOOKUP($A36,'Summary Data (40)'!$C$2:$L$247,4,0)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11.979638723876816</v>
      </c>
      <c r="N36" s="3">
        <f t="shared" si="1"/>
        <v>14.14006854349048</v>
      </c>
      <c r="O36" s="3">
        <f t="shared" si="2"/>
        <v>2.5489458605470614</v>
      </c>
      <c r="P36" s="3">
        <f t="shared" si="3"/>
        <v>11.59112268294342</v>
      </c>
      <c r="Q36" s="5">
        <f t="shared" si="4"/>
        <v>4.547418155227394</v>
      </c>
      <c r="R36" s="3">
        <f t="shared" si="5"/>
        <v>-77.654050540796021</v>
      </c>
      <c r="S36" s="3">
        <f t="shared" si="6"/>
        <v>-48.458506001086505</v>
      </c>
      <c r="T36" s="3">
        <f t="shared" si="7"/>
        <v>29.195544539709516</v>
      </c>
      <c r="U36" s="3">
        <f>VLOOKUP($A36,'Summary Data (40)'!$C$2:$N$247,11,0)</f>
        <v>0</v>
      </c>
      <c r="V36" s="3">
        <f>VLOOKUP($A36,'Summary Data (40)'!$C$2:$N$247,12,1)</f>
        <v>0</v>
      </c>
      <c r="W36" s="3">
        <f>VLOOKUP($A36,'Summary Data (40)'!$C$2:$N$247,11,1)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(40)'!$C$2:$L$247,3,0)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(40)'!$C$2:$L$247,5,1)</f>
        <v>0.80275549999999996</v>
      </c>
      <c r="G37" s="3">
        <f>VLOOKUP($A37,'Summary Data (40)'!$C$2:$L$247,6,1)</f>
        <v>1.65</v>
      </c>
      <c r="H37" s="3">
        <f>VLOOKUP($A37,'Summary Data (40)'!$C$2:$L$247,7,1)</f>
        <v>-10.845079999999999</v>
      </c>
      <c r="I37" s="3" t="str">
        <f>VLOOKUP($A37,'Summary Data (40)'!$C$2:$L$247,4,0)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13.591869491103138</v>
      </c>
      <c r="N37" s="3">
        <f t="shared" si="1"/>
        <v>15.760208100408454</v>
      </c>
      <c r="O37" s="3">
        <f t="shared" si="2"/>
        <v>4.3329067610554466</v>
      </c>
      <c r="P37" s="3">
        <f t="shared" si="3"/>
        <v>11.427301339353008</v>
      </c>
      <c r="Q37" s="5">
        <f t="shared" si="4"/>
        <v>2.6373291578906368</v>
      </c>
      <c r="R37" s="3">
        <f t="shared" si="5"/>
        <v>-19.074748100261683</v>
      </c>
      <c r="S37" s="3">
        <f t="shared" si="6"/>
        <v>-71.955716333633134</v>
      </c>
      <c r="T37" s="3">
        <f t="shared" si="7"/>
        <v>52.880968233371448</v>
      </c>
      <c r="U37" s="3">
        <f>VLOOKUP($A37,'Summary Data (40)'!$C$2:$N$247,11,0)</f>
        <v>0</v>
      </c>
      <c r="V37" s="3">
        <f>VLOOKUP($A37,'Summary Data (40)'!$C$2:$N$247,12,1)</f>
        <v>0</v>
      </c>
      <c r="W37" s="3">
        <f>VLOOKUP($A37,'Summary Data (40)'!$C$2:$N$247,11,1)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(40)'!$C$2:$L$247,3,0)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(40)'!$C$2:$L$247,5,1)</f>
        <v>10.90935</v>
      </c>
      <c r="G38" s="3">
        <f>VLOOKUP($A38,'Summary Data (40)'!$C$2:$L$247,6,1)</f>
        <v>1.65</v>
      </c>
      <c r="H38" s="3">
        <f>VLOOKUP($A38,'Summary Data (40)'!$C$2:$L$247,7,1)</f>
        <v>-6.5090769999999996</v>
      </c>
      <c r="I38" s="3" t="str">
        <f>VLOOKUP($A38,'Summary Data (40)'!$C$2:$L$247,4,0)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11.23032188017908</v>
      </c>
      <c r="N38" s="3">
        <f t="shared" si="1"/>
        <v>15.740518352024782</v>
      </c>
      <c r="O38" s="3">
        <f t="shared" si="2"/>
        <v>8.0292617967033557</v>
      </c>
      <c r="P38" s="3">
        <f t="shared" si="3"/>
        <v>7.7112565553214267</v>
      </c>
      <c r="Q38" s="5">
        <f t="shared" si="4"/>
        <v>0.9603942118922445</v>
      </c>
      <c r="R38" s="3">
        <f t="shared" si="5"/>
        <v>23.666151625811782</v>
      </c>
      <c r="S38" s="3">
        <f t="shared" si="6"/>
        <v>-18.917117939740617</v>
      </c>
      <c r="T38" s="3">
        <f t="shared" si="7"/>
        <v>42.583269565552399</v>
      </c>
      <c r="U38" s="3">
        <f>VLOOKUP($A38,'Summary Data (40)'!$C$2:$N$247,11,0)</f>
        <v>0</v>
      </c>
      <c r="V38" s="3">
        <f>VLOOKUP($A38,'Summary Data (40)'!$C$2:$N$247,12,1)</f>
        <v>0</v>
      </c>
      <c r="W38" s="3">
        <f>VLOOKUP($A38,'Summary Data (40)'!$C$2:$N$247,11,1)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(40)'!$C$2:$L$247,3,0)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(40)'!$C$2:$L$247,5,1)</f>
        <v>-6.4219980000000003</v>
      </c>
      <c r="G39" s="3">
        <f>VLOOKUP($A39,'Summary Data (40)'!$C$2:$L$247,6,1)</f>
        <v>1.65</v>
      </c>
      <c r="H39" s="3">
        <f>VLOOKUP($A39,'Summary Data (40)'!$C$2:$L$247,7,1)</f>
        <v>-11.22503</v>
      </c>
      <c r="I39" s="3" t="str">
        <f>VLOOKUP($A39,'Summary Data (40)'!$C$2:$L$247,4,0)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11.548819794806047</v>
      </c>
      <c r="N39" s="3">
        <f t="shared" si="1"/>
        <v>14.773655463726776</v>
      </c>
      <c r="O39" s="3">
        <f t="shared" si="2"/>
        <v>8.0641771433916301</v>
      </c>
      <c r="P39" s="3">
        <f t="shared" si="3"/>
        <v>6.7094783203351458</v>
      </c>
      <c r="Q39" s="5">
        <f t="shared" si="4"/>
        <v>0.8320102846244366</v>
      </c>
      <c r="R39" s="3">
        <f t="shared" si="5"/>
        <v>174.57078263739461</v>
      </c>
      <c r="S39" s="3">
        <f t="shared" si="6"/>
        <v>-134.41852836673198</v>
      </c>
      <c r="T39" s="3">
        <f t="shared" si="7"/>
        <v>51.010688995873409</v>
      </c>
      <c r="U39" s="3">
        <f>VLOOKUP($A39,'Summary Data (40)'!$C$2:$N$247,11,0)</f>
        <v>0</v>
      </c>
      <c r="V39" s="3">
        <f>VLOOKUP($A39,'Summary Data (40)'!$C$2:$N$247,12,1)</f>
        <v>0</v>
      </c>
      <c r="W39" s="3">
        <f>VLOOKUP($A39,'Summary Data (40)'!$C$2:$N$247,11,1)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(40)'!$C$2:$L$247,3,0)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(40)'!$C$2:$L$247,5,1)</f>
        <v>-7.8088119999999996</v>
      </c>
      <c r="G40" s="3">
        <f>VLOOKUP($A40,'Summary Data (40)'!$C$2:$L$247,6,1)</f>
        <v>1.65</v>
      </c>
      <c r="H40" s="3">
        <f>VLOOKUP($A40,'Summary Data (40)'!$C$2:$L$247,7,1)</f>
        <v>-2.4409689999999999</v>
      </c>
      <c r="I40" s="3" t="str">
        <f>VLOOKUP($A40,'Summary Data (40)'!$C$2:$L$247,4,0)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11.48359237444037</v>
      </c>
      <c r="N40" s="3">
        <f t="shared" si="1"/>
        <v>9.3757446427633155</v>
      </c>
      <c r="O40" s="3">
        <f t="shared" si="2"/>
        <v>7.8871175977032326</v>
      </c>
      <c r="P40" s="3">
        <f t="shared" si="3"/>
        <v>1.4886270450600829</v>
      </c>
      <c r="Q40" s="5">
        <f t="shared" si="4"/>
        <v>0.18874158101732608</v>
      </c>
      <c r="R40" s="3">
        <f t="shared" si="5"/>
        <v>-63.65586590726528</v>
      </c>
      <c r="S40" s="3">
        <f t="shared" si="6"/>
        <v>-146.57216390071935</v>
      </c>
      <c r="T40" s="3">
        <f t="shared" si="7"/>
        <v>82.916297993454066</v>
      </c>
      <c r="U40" s="3">
        <f>VLOOKUP($A40,'Summary Data (40)'!$C$2:$N$247,11,0)</f>
        <v>0</v>
      </c>
      <c r="V40" s="3">
        <f>VLOOKUP($A40,'Summary Data (40)'!$C$2:$N$247,12,1)</f>
        <v>0</v>
      </c>
      <c r="W40" s="3">
        <f>VLOOKUP($A40,'Summary Data (40)'!$C$2:$N$247,11,1)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(40)'!$C$2:$L$247,3,0)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(40)'!$C$2:$L$247,5,1)</f>
        <v>-6.6632110000000004</v>
      </c>
      <c r="G41" s="3">
        <f>VLOOKUP($A41,'Summary Data (40)'!$C$2:$L$247,6,1)</f>
        <v>1.65</v>
      </c>
      <c r="H41" s="3">
        <f>VLOOKUP($A41,'Summary Data (40)'!$C$2:$L$247,7,1)</f>
        <v>-7.6397069999999996</v>
      </c>
      <c r="I41" s="3" t="str">
        <f>VLOOKUP($A41,'Summary Data (40)'!$C$2:$L$247,4,0)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12.059835964820167</v>
      </c>
      <c r="N41" s="3">
        <f t="shared" si="1"/>
        <v>6.7972705359114558</v>
      </c>
      <c r="O41" s="3">
        <f t="shared" si="2"/>
        <v>8.8659173242253964</v>
      </c>
      <c r="P41" s="3">
        <f t="shared" si="3"/>
        <v>-2.0686467883139406</v>
      </c>
      <c r="Q41" s="5">
        <f t="shared" si="4"/>
        <v>-0.23332574765405625</v>
      </c>
      <c r="R41" s="3">
        <f t="shared" si="5"/>
        <v>111.35858600069317</v>
      </c>
      <c r="S41" s="3">
        <f t="shared" si="6"/>
        <v>-148.78484965292174</v>
      </c>
      <c r="T41" s="3">
        <f t="shared" si="7"/>
        <v>99.856564346385085</v>
      </c>
      <c r="U41" s="3">
        <f>VLOOKUP($A41,'Summary Data (40)'!$C$2:$N$247,11,0)</f>
        <v>0</v>
      </c>
      <c r="V41" s="3">
        <f>VLOOKUP($A41,'Summary Data (40)'!$C$2:$N$247,12,1)</f>
        <v>0</v>
      </c>
      <c r="W41" s="3">
        <f>VLOOKUP($A41,'Summary Data (40)'!$C$2:$N$247,11,1)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1.9597334145367185</v>
      </c>
      <c r="T42" s="3">
        <f>AVERAGE(T2:T41)</f>
        <v>63.918342293468939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2017-09-13T21:24:03Z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