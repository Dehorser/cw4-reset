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1 CXIJ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5" i="3" l="1"/>
  <c r="C4" i="3"/>
  <c r="E39" i="3"/>
  <c r="S39" i="3" s="1"/>
  <c r="D36" i="3"/>
  <c r="C13" i="3"/>
  <c r="S13" i="3" s="1"/>
  <c r="J18" i="3"/>
  <c r="M18" i="3" s="1"/>
  <c r="D4" i="3"/>
  <c r="C12" i="3"/>
  <c r="S12" i="3" s="1"/>
  <c r="D13" i="3"/>
  <c r="C39" i="3"/>
  <c r="L40" i="3"/>
  <c r="D3" i="3"/>
  <c r="L7" i="3"/>
  <c r="L9" i="3"/>
  <c r="E12" i="3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J13" i="3"/>
  <c r="J14" i="3"/>
  <c r="M14" i="3" s="1"/>
  <c r="E15" i="3"/>
  <c r="L16" i="3"/>
  <c r="L20" i="3"/>
  <c r="J25" i="3"/>
  <c r="C32" i="3"/>
  <c r="E33" i="3"/>
  <c r="J36" i="3"/>
  <c r="J40" i="3"/>
  <c r="M40" i="3" s="1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M6" i="3" s="1"/>
  <c r="E8" i="3"/>
  <c r="S8" i="3" s="1"/>
  <c r="L12" i="3"/>
  <c r="E16" i="3"/>
  <c r="N16" i="3" s="1"/>
  <c r="C17" i="3"/>
  <c r="L17" i="3"/>
  <c r="M17" i="3" s="1"/>
  <c r="C20" i="3"/>
  <c r="S20" i="3" s="1"/>
  <c r="L21" i="3"/>
  <c r="M21" i="3" s="1"/>
  <c r="J23" i="3"/>
  <c r="C24" i="3"/>
  <c r="S24" i="3" s="1"/>
  <c r="C26" i="3"/>
  <c r="D27" i="3"/>
  <c r="K28" i="3"/>
  <c r="C30" i="3"/>
  <c r="D31" i="3"/>
  <c r="K32" i="3"/>
  <c r="J33" i="3"/>
  <c r="M33" i="3" s="1"/>
  <c r="S36" i="3"/>
  <c r="D40" i="3"/>
  <c r="J41" i="3"/>
  <c r="M41" i="3" s="1"/>
  <c r="S4" i="3"/>
  <c r="K6" i="3"/>
  <c r="D17" i="3"/>
  <c r="D20" i="3"/>
  <c r="L23" i="3"/>
  <c r="D24" i="3"/>
  <c r="E26" i="3"/>
  <c r="E30" i="3"/>
  <c r="N30" i="3" s="1"/>
  <c r="K33" i="3"/>
  <c r="K41" i="3"/>
  <c r="K5" i="3"/>
  <c r="J10" i="3"/>
  <c r="M10" i="3" s="1"/>
  <c r="E11" i="3"/>
  <c r="K18" i="3"/>
  <c r="L27" i="3"/>
  <c r="L31" i="3"/>
  <c r="J37" i="3"/>
  <c r="M37" i="3" s="1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D7" i="3"/>
  <c r="C10" i="3"/>
  <c r="E10" i="3"/>
  <c r="D10" i="3"/>
  <c r="W13" i="3"/>
  <c r="V18" i="3"/>
  <c r="Y18" i="3" s="1"/>
  <c r="N20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J15" i="3"/>
  <c r="L15" i="3"/>
  <c r="K15" i="3"/>
  <c r="C18" i="3"/>
  <c r="E18" i="3"/>
  <c r="D18" i="3"/>
  <c r="W22" i="3"/>
  <c r="V7" i="3"/>
  <c r="L8" i="3"/>
  <c r="W9" i="3"/>
  <c r="V14" i="3"/>
  <c r="Y14" i="3" s="1"/>
  <c r="J19" i="3"/>
  <c r="L19" i="3"/>
  <c r="K19" i="3"/>
  <c r="L22" i="3"/>
  <c r="J22" i="3"/>
  <c r="K22" i="3"/>
  <c r="C11" i="3"/>
  <c r="J12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D29" i="3"/>
  <c r="K30" i="3"/>
  <c r="N35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O37" i="3" s="1"/>
  <c r="D37" i="3"/>
  <c r="D38" i="3"/>
  <c r="C38" i="3"/>
  <c r="N38" i="3" s="1"/>
  <c r="E41" i="3"/>
  <c r="D41" i="3"/>
  <c r="L34" i="3"/>
  <c r="K34" i="3"/>
  <c r="L38" i="3"/>
  <c r="K38" i="3"/>
  <c r="J34" i="3"/>
  <c r="K35" i="3"/>
  <c r="J35" i="3"/>
  <c r="N36" i="3"/>
  <c r="J38" i="3"/>
  <c r="K39" i="3"/>
  <c r="J39" i="3"/>
  <c r="R36" i="3" l="1"/>
  <c r="T36" i="3" s="1"/>
  <c r="M13" i="3"/>
  <c r="M9" i="3"/>
  <c r="N39" i="3"/>
  <c r="N19" i="3"/>
  <c r="S40" i="3"/>
  <c r="S34" i="3"/>
  <c r="O33" i="3"/>
  <c r="S18" i="3"/>
  <c r="O5" i="3"/>
  <c r="S16" i="3"/>
  <c r="S9" i="3"/>
  <c r="R4" i="3"/>
  <c r="M25" i="3"/>
  <c r="M27" i="3"/>
  <c r="T4" i="3"/>
  <c r="S28" i="3"/>
  <c r="M36" i="3"/>
  <c r="O10" i="3"/>
  <c r="N13" i="3"/>
  <c r="N28" i="3"/>
  <c r="O17" i="3"/>
  <c r="S22" i="3"/>
  <c r="S25" i="3"/>
  <c r="S32" i="3"/>
  <c r="M7" i="3"/>
  <c r="N22" i="3"/>
  <c r="N12" i="3"/>
  <c r="O13" i="3"/>
  <c r="N3" i="3"/>
  <c r="M23" i="3"/>
  <c r="N32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P4" i="3" s="1"/>
  <c r="Q4" i="3" s="1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M32" i="3"/>
  <c r="R30" i="3"/>
  <c r="N33" i="3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M34" i="3"/>
  <c r="R24" i="3"/>
  <c r="T24" i="3" s="1"/>
  <c r="M24" i="3"/>
  <c r="O24" i="3"/>
  <c r="S41" i="3"/>
  <c r="R41" i="3"/>
  <c r="O29" i="3"/>
  <c r="R26" i="3"/>
  <c r="O26" i="3"/>
  <c r="M26" i="3"/>
  <c r="N25" i="3"/>
  <c r="R21" i="3"/>
  <c r="T21" i="3" s="1"/>
  <c r="O8" i="3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O38" i="3"/>
  <c r="P38" i="3" s="1"/>
  <c r="Q38" i="3" s="1"/>
  <c r="R38" i="3"/>
  <c r="M38" i="3"/>
  <c r="N29" i="3"/>
  <c r="O28" i="3"/>
  <c r="R28" i="3"/>
  <c r="M28" i="3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O6" i="3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39" i="3" l="1"/>
  <c r="Q39" i="3" s="1"/>
  <c r="T31" i="3"/>
  <c r="T7" i="3"/>
  <c r="P33" i="3"/>
  <c r="Q33" i="3" s="1"/>
  <c r="P32" i="3"/>
  <c r="Q32" i="3" s="1"/>
  <c r="P12" i="3"/>
  <c r="Q12" i="3" s="1"/>
  <c r="P22" i="3"/>
  <c r="Q22" i="3" s="1"/>
  <c r="T30" i="3"/>
  <c r="P6" i="3"/>
  <c r="Q6" i="3" s="1"/>
  <c r="T25" i="3"/>
  <c r="T34" i="3"/>
  <c r="P13" i="3"/>
  <c r="Q13" i="3" s="1"/>
  <c r="P17" i="3"/>
  <c r="Q17" i="3" s="1"/>
  <c r="T27" i="3"/>
  <c r="T28" i="3"/>
  <c r="T5" i="3"/>
  <c r="T32" i="3"/>
  <c r="T33" i="3"/>
  <c r="P3" i="3"/>
  <c r="Q3" i="3" s="1"/>
  <c r="P28" i="3"/>
  <c r="Q28" i="3" s="1"/>
  <c r="P8" i="3"/>
  <c r="Q8" i="3" s="1"/>
  <c r="T6" i="3"/>
  <c r="P15" i="3"/>
  <c r="Q15" i="3" s="1"/>
  <c r="T23" i="3"/>
  <c r="T26" i="3"/>
  <c r="T38" i="3"/>
  <c r="T10" i="3"/>
  <c r="P25" i="3"/>
  <c r="Q25" i="3" s="1"/>
  <c r="T11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<sst xmlns="http://schemas.openxmlformats.org/spreadsheetml/2006/main" count="394" uniqueCount="37">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</sst>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topLeftCell="A94" zoomScaleNormal="100" workbookViewId="0">
      <selection activeCell="A101" sqref="A101:XFD103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42963.541331018518</v>
      </c>
      <c r="B2">
        <v>1302.8579999999999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1.8139909999999999</v>
      </c>
      <c r="I2">
        <v>-4.117</v>
      </c>
      <c r="J2">
        <v>7.9937909999999999</v>
      </c>
      <c r="K2">
        <v>234.35230000000001</v>
      </c>
      <c r="L2">
        <v>356.33690000000001</v>
      </c>
    </row>
    <row r="3" spans="1:12" x14ac:dyDescent="0.2">
      <c r="A3" s="1">
        <v>42963.541597222225</v>
      </c>
      <c r="B3">
        <v>1326.0309999999999</v>
      </c>
      <c r="C3">
        <v>0</v>
      </c>
      <c r="D3" t="s">
        <v>35</v>
      </c>
      <c r="E3" t="s">
        <v>0</v>
      </c>
      <c r="F3" t="s">
        <v>1</v>
      </c>
      <c r="G3">
        <v>-0.76734199999999997</v>
      </c>
      <c r="H3">
        <v>1.77179</v>
      </c>
      <c r="I3">
        <v>-4.3438030000000003</v>
      </c>
      <c r="J3">
        <v>13.709059999999999</v>
      </c>
      <c r="K3">
        <v>269.76069999999999</v>
      </c>
      <c r="L3">
        <v>356.24689999999998</v>
      </c>
    </row>
    <row r="4" spans="1:12" x14ac:dyDescent="0.2">
      <c r="A4" s="1">
        <v>42963.542314814818</v>
      </c>
      <c r="B4">
        <v>1387.45</v>
      </c>
      <c r="C4">
        <v>0</v>
      </c>
      <c r="D4" t="s">
        <v>36</v>
      </c>
      <c r="E4" t="s">
        <v>0</v>
      </c>
      <c r="F4" t="s">
        <v>1</v>
      </c>
      <c r="G4">
        <v>5.5481579999999999</v>
      </c>
      <c r="H4">
        <v>1.8092839999999999</v>
      </c>
      <c r="I4">
        <v>-1.030424</v>
      </c>
      <c r="J4">
        <v>6.3403879999999999</v>
      </c>
      <c r="K4">
        <v>309.1404</v>
      </c>
      <c r="L4">
        <v>355.16640000000001</v>
      </c>
    </row>
    <row r="5" spans="1:12" x14ac:dyDescent="0.2">
      <c r="A5" s="1">
        <v>42963.542812500003</v>
      </c>
      <c r="B5">
        <v>1430.3679999999999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1.806584</v>
      </c>
      <c r="I5">
        <v>-4.3440000000000003</v>
      </c>
      <c r="J5">
        <v>11.133839999999999</v>
      </c>
      <c r="K5">
        <v>287.07119999999998</v>
      </c>
      <c r="L5">
        <v>356.07839999999999</v>
      </c>
    </row>
    <row r="6" spans="1:12" x14ac:dyDescent="0.2">
      <c r="A6" s="1">
        <v>42963.542997685188</v>
      </c>
      <c r="B6">
        <v>1446.5309999999999</v>
      </c>
      <c r="C6">
        <v>1</v>
      </c>
      <c r="D6" t="s">
        <v>35</v>
      </c>
      <c r="E6" t="s">
        <v>2</v>
      </c>
      <c r="F6" t="s">
        <v>0</v>
      </c>
      <c r="G6">
        <v>3.4929760000000001</v>
      </c>
      <c r="H6">
        <v>1.8129169999999999</v>
      </c>
      <c r="I6">
        <v>-4.3353349999999997</v>
      </c>
      <c r="J6">
        <v>8.7374080000000003</v>
      </c>
      <c r="K6">
        <v>262.14409999999998</v>
      </c>
      <c r="L6">
        <v>353.88060000000002</v>
      </c>
    </row>
    <row r="7" spans="1:12" x14ac:dyDescent="0.2">
      <c r="A7" s="1">
        <v>42963.543229166666</v>
      </c>
      <c r="B7">
        <v>1466.895</v>
      </c>
      <c r="C7">
        <v>1</v>
      </c>
      <c r="D7" t="s">
        <v>36</v>
      </c>
      <c r="E7" t="s">
        <v>2</v>
      </c>
      <c r="F7" t="s">
        <v>0</v>
      </c>
      <c r="G7">
        <v>-0.23185710000000001</v>
      </c>
      <c r="H7">
        <v>1.81352</v>
      </c>
      <c r="I7">
        <v>-5.4138799999999998</v>
      </c>
      <c r="J7">
        <v>8.4983540000000009</v>
      </c>
      <c r="K7">
        <v>314.03489999999999</v>
      </c>
      <c r="L7">
        <v>354.7978</v>
      </c>
    </row>
    <row r="8" spans="1:12" x14ac:dyDescent="0.2">
      <c r="A8" s="1">
        <v>42963.543275462966</v>
      </c>
      <c r="B8">
        <v>1470.308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1.8140130000000001</v>
      </c>
      <c r="I8">
        <v>1.8169999999999999</v>
      </c>
      <c r="J8">
        <v>6.2888219999999997</v>
      </c>
      <c r="K8">
        <v>313.15309999999999</v>
      </c>
      <c r="L8">
        <v>356.70089999999999</v>
      </c>
    </row>
    <row r="9" spans="1:12" x14ac:dyDescent="0.2">
      <c r="A9" s="1">
        <v>42963.543379629627</v>
      </c>
      <c r="B9">
        <v>1479.829</v>
      </c>
      <c r="C9">
        <v>2</v>
      </c>
      <c r="D9" t="s">
        <v>35</v>
      </c>
      <c r="E9" t="s">
        <v>3</v>
      </c>
      <c r="F9" t="s">
        <v>4</v>
      </c>
      <c r="G9">
        <v>3.4679730000000002</v>
      </c>
      <c r="H9">
        <v>1.8015600000000001</v>
      </c>
      <c r="I9">
        <v>1.9764470000000001</v>
      </c>
      <c r="J9">
        <v>20.031220000000001</v>
      </c>
      <c r="K9">
        <v>88.472539999999995</v>
      </c>
      <c r="L9">
        <v>356.67880000000002</v>
      </c>
    </row>
    <row r="10" spans="1:12" x14ac:dyDescent="0.2">
      <c r="A10" s="1">
        <v>42963.543564814812</v>
      </c>
      <c r="B10">
        <v>1495.8240000000001</v>
      </c>
      <c r="C10">
        <v>2</v>
      </c>
      <c r="D10" t="s">
        <v>36</v>
      </c>
      <c r="E10" t="s">
        <v>3</v>
      </c>
      <c r="F10" t="s">
        <v>4</v>
      </c>
      <c r="G10">
        <v>5.9440059999999999</v>
      </c>
      <c r="H10">
        <v>1.8132630000000001</v>
      </c>
      <c r="I10">
        <v>0.83855849999999998</v>
      </c>
      <c r="J10">
        <v>12.037890000000001</v>
      </c>
      <c r="K10">
        <v>25.164729999999999</v>
      </c>
      <c r="L10">
        <v>355.41199999999998</v>
      </c>
    </row>
    <row r="11" spans="1:12" x14ac:dyDescent="0.2">
      <c r="A11" s="1">
        <v>42963.543576388889</v>
      </c>
      <c r="B11">
        <v>1497.079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1.8100670000000001</v>
      </c>
      <c r="I11">
        <v>4.1399999999999997</v>
      </c>
      <c r="J11">
        <v>11.84314</v>
      </c>
      <c r="K11">
        <v>23.349730000000001</v>
      </c>
      <c r="L11">
        <v>356.07819999999998</v>
      </c>
    </row>
    <row r="12" spans="1:12" x14ac:dyDescent="0.2">
      <c r="A12" s="1">
        <v>42963.543738425928</v>
      </c>
      <c r="B12">
        <v>1510.13</v>
      </c>
      <c r="C12">
        <v>3</v>
      </c>
      <c r="D12" t="s">
        <v>35</v>
      </c>
      <c r="E12" t="s">
        <v>1</v>
      </c>
      <c r="F12" t="s">
        <v>5</v>
      </c>
      <c r="G12">
        <v>-4.0123490000000004</v>
      </c>
      <c r="H12">
        <v>1.804419</v>
      </c>
      <c r="I12">
        <v>4.1351190000000004</v>
      </c>
      <c r="J12">
        <v>13.860799999999999</v>
      </c>
      <c r="K12">
        <v>47.198889999999999</v>
      </c>
      <c r="L12">
        <v>355.80360000000002</v>
      </c>
    </row>
    <row r="13" spans="1:12" x14ac:dyDescent="0.2">
      <c r="A13" s="1">
        <v>42963.543935185182</v>
      </c>
      <c r="B13">
        <v>1527.7650000000001</v>
      </c>
      <c r="C13">
        <v>3</v>
      </c>
      <c r="D13" t="s">
        <v>36</v>
      </c>
      <c r="E13" t="s">
        <v>1</v>
      </c>
      <c r="F13" t="s">
        <v>5</v>
      </c>
      <c r="G13">
        <v>-9.8517419999999994E-2</v>
      </c>
      <c r="H13">
        <v>1.8095460000000001</v>
      </c>
      <c r="I13">
        <v>3.7979530000000001</v>
      </c>
      <c r="J13">
        <v>10.78762</v>
      </c>
      <c r="K13">
        <v>202.32069999999999</v>
      </c>
      <c r="L13">
        <v>354.32749999999999</v>
      </c>
    </row>
    <row r="14" spans="1:12" x14ac:dyDescent="0.2">
      <c r="A14" s="1">
        <v>42963.543958333335</v>
      </c>
      <c r="B14">
        <v>1529.8230000000001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1.807947</v>
      </c>
      <c r="I14">
        <v>-0.67300000000000004</v>
      </c>
      <c r="J14">
        <v>8.9650960000000008</v>
      </c>
      <c r="K14">
        <v>202.15790000000001</v>
      </c>
      <c r="L14">
        <v>354.33510000000001</v>
      </c>
    </row>
    <row r="15" spans="1:12" x14ac:dyDescent="0.2">
      <c r="A15" s="1">
        <v>42963.54409722222</v>
      </c>
      <c r="B15">
        <v>1541.8689999999999</v>
      </c>
      <c r="C15">
        <v>4</v>
      </c>
      <c r="D15" t="s">
        <v>35</v>
      </c>
      <c r="E15" t="s">
        <v>4</v>
      </c>
      <c r="F15" t="s">
        <v>6</v>
      </c>
      <c r="G15">
        <v>3.6783519999999998</v>
      </c>
      <c r="H15">
        <v>1.799401</v>
      </c>
      <c r="I15">
        <v>-0.90890959999999998</v>
      </c>
      <c r="J15">
        <v>15.76261</v>
      </c>
      <c r="K15">
        <v>151.69110000000001</v>
      </c>
      <c r="L15">
        <v>355.88670000000002</v>
      </c>
    </row>
    <row r="16" spans="1:12" x14ac:dyDescent="0.2">
      <c r="A16" s="1">
        <v>42963.544525462959</v>
      </c>
      <c r="B16">
        <v>1578.828</v>
      </c>
      <c r="C16">
        <v>4</v>
      </c>
      <c r="D16" t="s">
        <v>36</v>
      </c>
      <c r="E16" t="s">
        <v>4</v>
      </c>
      <c r="F16" t="s">
        <v>6</v>
      </c>
      <c r="G16">
        <v>-4.9093289999999996</v>
      </c>
      <c r="H16">
        <v>1.806098</v>
      </c>
      <c r="I16">
        <v>-2.0506289999999998</v>
      </c>
      <c r="J16">
        <v>8.4992140000000003</v>
      </c>
      <c r="K16">
        <v>202.66640000000001</v>
      </c>
      <c r="L16">
        <v>358.70519999999999</v>
      </c>
    </row>
    <row r="17" spans="1:12" x14ac:dyDescent="0.2">
      <c r="A17" s="1">
        <v>42963.544537037036</v>
      </c>
      <c r="B17">
        <v>1579.9829999999999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1.8046629999999999</v>
      </c>
      <c r="I17">
        <v>-4.117</v>
      </c>
      <c r="J17">
        <v>5.9601860000000002</v>
      </c>
      <c r="K17">
        <v>205.94030000000001</v>
      </c>
      <c r="L17">
        <v>357.6173</v>
      </c>
    </row>
    <row r="18" spans="1:12" x14ac:dyDescent="0.2">
      <c r="A18" s="1">
        <v>42963.544976851852</v>
      </c>
      <c r="B18">
        <v>1617.1420000000001</v>
      </c>
      <c r="C18">
        <v>5</v>
      </c>
      <c r="D18" t="s">
        <v>35</v>
      </c>
      <c r="E18" t="s">
        <v>0</v>
      </c>
      <c r="F18" t="s">
        <v>1</v>
      </c>
      <c r="G18">
        <v>-0.89388029999999996</v>
      </c>
      <c r="H18">
        <v>1.7934909999999999</v>
      </c>
      <c r="I18">
        <v>-4.5748620000000004</v>
      </c>
      <c r="J18">
        <v>4.9657859999999996</v>
      </c>
      <c r="K18">
        <v>202.2672</v>
      </c>
      <c r="L18">
        <v>356.5539</v>
      </c>
    </row>
    <row r="19" spans="1:12" x14ac:dyDescent="0.2">
      <c r="A19" s="1">
        <v>42963.545393518521</v>
      </c>
      <c r="B19">
        <v>1653.1980000000001</v>
      </c>
      <c r="C19">
        <v>5</v>
      </c>
      <c r="D19" t="s">
        <v>36</v>
      </c>
      <c r="E19" t="s">
        <v>0</v>
      </c>
      <c r="F19" t="s">
        <v>1</v>
      </c>
      <c r="G19">
        <v>3.3913540000000002</v>
      </c>
      <c r="H19">
        <v>1.814953</v>
      </c>
      <c r="I19">
        <v>5.4309539999999998</v>
      </c>
      <c r="J19">
        <v>7.3110989999999996</v>
      </c>
      <c r="K19">
        <v>190.58709999999999</v>
      </c>
      <c r="L19">
        <v>354.53570000000002</v>
      </c>
    </row>
    <row r="20" spans="1:12" x14ac:dyDescent="0.2">
      <c r="A20" s="1">
        <v>42963.545416666668</v>
      </c>
      <c r="B20">
        <v>1656.1089999999999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1.809712</v>
      </c>
      <c r="I20">
        <v>-1.4059999999999999</v>
      </c>
      <c r="J20">
        <v>6.6848089999999996</v>
      </c>
      <c r="K20">
        <v>188.71950000000001</v>
      </c>
      <c r="L20">
        <v>357.19819999999999</v>
      </c>
    </row>
    <row r="21" spans="1:12" x14ac:dyDescent="0.2">
      <c r="A21" s="1">
        <v>42963.545543981483</v>
      </c>
      <c r="B21">
        <v>1666.7</v>
      </c>
      <c r="C21">
        <v>6</v>
      </c>
      <c r="D21" t="s">
        <v>35</v>
      </c>
      <c r="E21" t="s">
        <v>33</v>
      </c>
      <c r="F21" t="s">
        <v>3</v>
      </c>
      <c r="G21">
        <v>-3.8771080000000002</v>
      </c>
      <c r="H21">
        <v>1.808246</v>
      </c>
      <c r="I21">
        <v>-1.397861</v>
      </c>
      <c r="J21">
        <v>10.847939999999999</v>
      </c>
      <c r="K21">
        <v>228.26</v>
      </c>
      <c r="L21">
        <v>353.35320000000002</v>
      </c>
    </row>
    <row r="22" spans="1:12" x14ac:dyDescent="0.2">
      <c r="A22" s="1">
        <v>42963.545925925922</v>
      </c>
      <c r="B22">
        <v>1699.9290000000001</v>
      </c>
      <c r="C22">
        <v>6</v>
      </c>
      <c r="D22" t="s">
        <v>36</v>
      </c>
      <c r="E22" t="s">
        <v>33</v>
      </c>
      <c r="F22" t="s">
        <v>3</v>
      </c>
      <c r="G22">
        <v>4.0274150000000004</v>
      </c>
      <c r="H22">
        <v>1.8252349999999999</v>
      </c>
      <c r="I22">
        <v>2.6576900000000001</v>
      </c>
      <c r="J22">
        <v>11.3116</v>
      </c>
      <c r="K22">
        <v>141.0812</v>
      </c>
      <c r="L22">
        <v>355.5455</v>
      </c>
    </row>
    <row r="23" spans="1:12" x14ac:dyDescent="0.2">
      <c r="A23" s="1">
        <v>42963.545949074076</v>
      </c>
      <c r="B23">
        <v>1701.92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1.828236</v>
      </c>
      <c r="I23">
        <v>4.1399999999999997</v>
      </c>
      <c r="J23">
        <v>5.7571130000000004</v>
      </c>
      <c r="K23">
        <v>138.83619999999999</v>
      </c>
      <c r="L23">
        <v>356.86700000000002</v>
      </c>
    </row>
    <row r="24" spans="1:12" x14ac:dyDescent="0.2">
      <c r="A24" s="1">
        <v>42963.546030092592</v>
      </c>
      <c r="B24">
        <v>1708.779</v>
      </c>
      <c r="C24">
        <v>7</v>
      </c>
      <c r="D24" t="s">
        <v>35</v>
      </c>
      <c r="E24" t="s">
        <v>1</v>
      </c>
      <c r="F24" t="s">
        <v>5</v>
      </c>
      <c r="G24">
        <v>-4.0203990000000003</v>
      </c>
      <c r="H24">
        <v>1.816692</v>
      </c>
      <c r="I24">
        <v>4.1546849999999997</v>
      </c>
      <c r="J24">
        <v>13.849069999999999</v>
      </c>
      <c r="K24">
        <v>139.9288</v>
      </c>
      <c r="L24">
        <v>358.73649999999998</v>
      </c>
    </row>
    <row r="25" spans="1:12" x14ac:dyDescent="0.2">
      <c r="A25" s="1">
        <v>42963.546261574076</v>
      </c>
      <c r="B25">
        <v>1728.271</v>
      </c>
      <c r="C25">
        <v>7</v>
      </c>
      <c r="D25" t="s">
        <v>36</v>
      </c>
      <c r="E25" t="s">
        <v>1</v>
      </c>
      <c r="F25" t="s">
        <v>5</v>
      </c>
      <c r="G25">
        <v>-0.33520509999999998</v>
      </c>
      <c r="H25">
        <v>1.8039510000000001</v>
      </c>
      <c r="I25">
        <v>1.13062</v>
      </c>
      <c r="J25">
        <v>10.39223</v>
      </c>
      <c r="K25">
        <v>261.97899999999998</v>
      </c>
      <c r="L25">
        <v>356.59030000000001</v>
      </c>
    </row>
    <row r="26" spans="1:12" x14ac:dyDescent="0.2">
      <c r="A26" s="1">
        <v>42963.546273148146</v>
      </c>
      <c r="B26">
        <v>1729.7760000000001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1.806001</v>
      </c>
      <c r="I26">
        <v>-4.3440000000000003</v>
      </c>
      <c r="J26">
        <v>9.0523830000000007</v>
      </c>
      <c r="K26">
        <v>258.85120000000001</v>
      </c>
      <c r="L26">
        <v>358.56700000000001</v>
      </c>
    </row>
    <row r="27" spans="1:12" x14ac:dyDescent="0.2">
      <c r="A27" s="1">
        <v>42963.546956018516</v>
      </c>
      <c r="B27">
        <v>1789.0889999999999</v>
      </c>
      <c r="C27">
        <v>8</v>
      </c>
      <c r="D27" t="s">
        <v>35</v>
      </c>
      <c r="E27" t="s">
        <v>2</v>
      </c>
      <c r="F27" t="s">
        <v>0</v>
      </c>
      <c r="G27">
        <v>4.54948</v>
      </c>
      <c r="H27">
        <v>1.808981</v>
      </c>
      <c r="I27">
        <v>-4.8762650000000001</v>
      </c>
      <c r="J27">
        <v>5.260383</v>
      </c>
      <c r="K27">
        <v>189.48769999999999</v>
      </c>
      <c r="L27">
        <v>355.79230000000001</v>
      </c>
    </row>
    <row r="28" spans="1:12" x14ac:dyDescent="0.2">
      <c r="A28" s="1">
        <v>42963.547199074077</v>
      </c>
      <c r="B28">
        <v>1809.921</v>
      </c>
      <c r="C28">
        <v>8</v>
      </c>
      <c r="D28" t="s">
        <v>36</v>
      </c>
      <c r="E28" t="s">
        <v>2</v>
      </c>
      <c r="F28" t="s">
        <v>0</v>
      </c>
      <c r="G28">
        <v>-0.32675700000000002</v>
      </c>
      <c r="H28">
        <v>1.8126899999999999</v>
      </c>
      <c r="I28">
        <v>-6.2375210000000001</v>
      </c>
      <c r="J28">
        <v>4.941859</v>
      </c>
      <c r="K28">
        <v>133.6018</v>
      </c>
      <c r="L28">
        <v>355.63040000000001</v>
      </c>
    </row>
    <row r="29" spans="1:12" x14ac:dyDescent="0.2">
      <c r="A29" s="1">
        <v>42963.547280092593</v>
      </c>
      <c r="B29">
        <v>1816.6969999999999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1.826184</v>
      </c>
      <c r="I29">
        <v>-1.4059999999999999</v>
      </c>
      <c r="J29">
        <v>4.2002249999999998E-2</v>
      </c>
      <c r="K29">
        <v>120.8518</v>
      </c>
      <c r="L29">
        <v>356.05349999999999</v>
      </c>
    </row>
    <row r="30" spans="1:12" x14ac:dyDescent="0.2">
      <c r="A30" s="1">
        <v>42963.547395833331</v>
      </c>
      <c r="B30">
        <v>1826.3510000000001</v>
      </c>
      <c r="C30">
        <v>9</v>
      </c>
      <c r="D30" t="s">
        <v>35</v>
      </c>
      <c r="E30" t="s">
        <v>33</v>
      </c>
      <c r="F30" t="s">
        <v>3</v>
      </c>
      <c r="G30">
        <v>-3.8703530000000002</v>
      </c>
      <c r="H30">
        <v>1.8232189999999999</v>
      </c>
      <c r="I30">
        <v>-1.441438</v>
      </c>
      <c r="J30">
        <v>4.8922309999999998</v>
      </c>
      <c r="K30">
        <v>280.65989999999999</v>
      </c>
      <c r="L30">
        <v>358.4187</v>
      </c>
    </row>
    <row r="31" spans="1:12" x14ac:dyDescent="0.2">
      <c r="A31" s="1">
        <v>42963.547731481478</v>
      </c>
      <c r="B31">
        <v>1855.28</v>
      </c>
      <c r="C31">
        <v>9</v>
      </c>
      <c r="D31" t="s">
        <v>36</v>
      </c>
      <c r="E31" t="s">
        <v>33</v>
      </c>
      <c r="F31" t="s">
        <v>3</v>
      </c>
      <c r="G31">
        <v>1.666677</v>
      </c>
      <c r="H31">
        <v>1.8212630000000001</v>
      </c>
      <c r="I31">
        <v>4.2944380000000004</v>
      </c>
      <c r="J31">
        <v>4.8038780000000001</v>
      </c>
      <c r="K31">
        <v>332.03500000000003</v>
      </c>
      <c r="L31">
        <v>355.89980000000003</v>
      </c>
    </row>
    <row r="32" spans="1:12" x14ac:dyDescent="0.2">
      <c r="A32" s="1">
        <v>42963.547754629632</v>
      </c>
      <c r="B32">
        <v>1857.5050000000001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1.813736</v>
      </c>
      <c r="I32">
        <v>2.7240000000000002</v>
      </c>
      <c r="J32">
        <v>4.9595919999999998</v>
      </c>
      <c r="K32">
        <v>327.85739999999998</v>
      </c>
      <c r="L32">
        <v>358.82400000000001</v>
      </c>
    </row>
    <row r="33" spans="1:12" x14ac:dyDescent="0.2">
      <c r="A33" s="1">
        <v>42963.547858796293</v>
      </c>
      <c r="B33">
        <v>1866.182</v>
      </c>
      <c r="C33">
        <v>10</v>
      </c>
      <c r="D33" t="s">
        <v>35</v>
      </c>
      <c r="E33" t="s">
        <v>5</v>
      </c>
      <c r="F33" t="s">
        <v>2</v>
      </c>
      <c r="G33">
        <v>8.1242620000000002E-2</v>
      </c>
      <c r="H33">
        <v>1.78104</v>
      </c>
      <c r="I33">
        <v>2.630423</v>
      </c>
      <c r="J33">
        <v>21.023160000000001</v>
      </c>
      <c r="K33">
        <v>298.0059</v>
      </c>
      <c r="L33">
        <v>356.00319999999999</v>
      </c>
    </row>
    <row r="34" spans="1:12" x14ac:dyDescent="0.2">
      <c r="A34" s="1">
        <v>42963.548125000001</v>
      </c>
      <c r="B34">
        <v>1889.992</v>
      </c>
      <c r="C34">
        <v>10</v>
      </c>
      <c r="D34" t="s">
        <v>36</v>
      </c>
      <c r="E34" t="s">
        <v>5</v>
      </c>
      <c r="F34" t="s">
        <v>2</v>
      </c>
      <c r="G34">
        <v>-0.40930689999999997</v>
      </c>
      <c r="H34">
        <v>1.814095</v>
      </c>
      <c r="I34">
        <v>-4.1993039999999997</v>
      </c>
      <c r="J34">
        <v>11.25169</v>
      </c>
      <c r="K34">
        <v>80.181820000000002</v>
      </c>
      <c r="L34">
        <v>352.81670000000003</v>
      </c>
    </row>
    <row r="35" spans="1:12" x14ac:dyDescent="0.2">
      <c r="A35" s="1">
        <v>42963.548148148147</v>
      </c>
      <c r="B35">
        <v>1891.4480000000001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1.810114</v>
      </c>
      <c r="I35">
        <v>-4.117</v>
      </c>
      <c r="J35">
        <v>7.220987</v>
      </c>
      <c r="K35">
        <v>84.144099999999995</v>
      </c>
      <c r="L35">
        <v>357.42540000000002</v>
      </c>
    </row>
    <row r="36" spans="1:12" x14ac:dyDescent="0.2">
      <c r="A36" s="1">
        <v>42963.548182870371</v>
      </c>
      <c r="B36">
        <v>1894.76</v>
      </c>
      <c r="C36">
        <v>11</v>
      </c>
      <c r="D36" t="s">
        <v>35</v>
      </c>
      <c r="E36" t="s">
        <v>0</v>
      </c>
      <c r="F36" t="s">
        <v>1</v>
      </c>
      <c r="G36">
        <v>-0.76160479999999997</v>
      </c>
      <c r="H36">
        <v>1.7728269999999999</v>
      </c>
      <c r="I36">
        <v>-4.1082039999999997</v>
      </c>
      <c r="J36">
        <v>29.908100000000001</v>
      </c>
      <c r="K36">
        <v>272.78530000000001</v>
      </c>
      <c r="L36">
        <v>358.48719999999997</v>
      </c>
    </row>
    <row r="37" spans="1:12" x14ac:dyDescent="0.2">
      <c r="A37" s="1">
        <v>42963.548414351855</v>
      </c>
      <c r="B37">
        <v>1914.62</v>
      </c>
      <c r="C37">
        <v>11</v>
      </c>
      <c r="D37" t="s">
        <v>36</v>
      </c>
      <c r="E37" t="s">
        <v>0</v>
      </c>
      <c r="F37" t="s">
        <v>1</v>
      </c>
      <c r="G37">
        <v>1.854832</v>
      </c>
      <c r="H37">
        <v>1.8064039999999999</v>
      </c>
      <c r="I37">
        <v>2.2360319999999998</v>
      </c>
      <c r="J37">
        <v>14.85581</v>
      </c>
      <c r="K37">
        <v>147.5599</v>
      </c>
      <c r="L37">
        <v>354.99979999999999</v>
      </c>
    </row>
    <row r="38" spans="1:12" x14ac:dyDescent="0.2">
      <c r="A38" s="1">
        <v>42963.549872685187</v>
      </c>
      <c r="B38">
        <v>2040.8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1.8054570000000001</v>
      </c>
      <c r="I38">
        <v>1.8169999999999999</v>
      </c>
      <c r="J38">
        <v>2.9026869999999998</v>
      </c>
      <c r="K38">
        <v>306.47919999999999</v>
      </c>
      <c r="L38">
        <v>356.9658</v>
      </c>
    </row>
    <row r="39" spans="1:12" x14ac:dyDescent="0.2">
      <c r="A39" s="1">
        <v>42963.549942129626</v>
      </c>
      <c r="B39">
        <v>2046.79</v>
      </c>
      <c r="C39">
        <v>12</v>
      </c>
      <c r="D39" t="s">
        <v>35</v>
      </c>
      <c r="E39" t="s">
        <v>3</v>
      </c>
      <c r="F39" t="s">
        <v>4</v>
      </c>
      <c r="G39">
        <v>3.3764569999999998</v>
      </c>
      <c r="H39">
        <v>1.7938829999999999</v>
      </c>
      <c r="I39">
        <v>1.882369</v>
      </c>
      <c r="J39">
        <v>16.235600000000002</v>
      </c>
      <c r="K39">
        <v>279.58839999999998</v>
      </c>
      <c r="L39">
        <v>358.02249999999998</v>
      </c>
    </row>
    <row r="40" spans="1:12" x14ac:dyDescent="0.2">
      <c r="A40" s="1">
        <v>42963.550115740742</v>
      </c>
      <c r="B40">
        <v>2061.2130000000002</v>
      </c>
      <c r="C40">
        <v>12</v>
      </c>
      <c r="D40" t="s">
        <v>36</v>
      </c>
      <c r="E40" t="s">
        <v>3</v>
      </c>
      <c r="F40" t="s">
        <v>4</v>
      </c>
      <c r="G40">
        <v>6.2279679999999997</v>
      </c>
      <c r="H40">
        <v>1.8186469999999999</v>
      </c>
      <c r="I40">
        <v>-0.32431919999999997</v>
      </c>
      <c r="J40">
        <v>5.1337770000000003</v>
      </c>
      <c r="K40">
        <v>231.9632</v>
      </c>
      <c r="L40">
        <v>356.28030000000001</v>
      </c>
    </row>
    <row r="41" spans="1:12" x14ac:dyDescent="0.2">
      <c r="A41" s="1">
        <v>42963.550138888888</v>
      </c>
      <c r="B41">
        <v>2063.6060000000002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1.8144340000000001</v>
      </c>
      <c r="I41">
        <v>-1.4059999999999999</v>
      </c>
      <c r="J41">
        <v>4.6862500000000002</v>
      </c>
      <c r="K41">
        <v>231.047</v>
      </c>
      <c r="L41">
        <v>357.63400000000001</v>
      </c>
    </row>
    <row r="42" spans="1:12" x14ac:dyDescent="0.2">
      <c r="A42" s="1">
        <v>42963.550219907411</v>
      </c>
      <c r="B42">
        <v>2070.2489999999998</v>
      </c>
      <c r="C42">
        <v>13</v>
      </c>
      <c r="D42" t="s">
        <v>35</v>
      </c>
      <c r="E42" t="s">
        <v>33</v>
      </c>
      <c r="F42" t="s">
        <v>3</v>
      </c>
      <c r="G42">
        <v>-3.8856540000000002</v>
      </c>
      <c r="H42">
        <v>1.811653</v>
      </c>
      <c r="I42">
        <v>-1.3303</v>
      </c>
      <c r="J42">
        <v>9.140841</v>
      </c>
      <c r="K42">
        <v>102.10420000000001</v>
      </c>
      <c r="L42">
        <v>358.37939999999998</v>
      </c>
    </row>
    <row r="43" spans="1:12" x14ac:dyDescent="0.2">
      <c r="A43" s="1">
        <v>42963.55060185185</v>
      </c>
      <c r="B43">
        <v>2103.328</v>
      </c>
      <c r="C43">
        <v>13</v>
      </c>
      <c r="D43" t="s">
        <v>36</v>
      </c>
      <c r="E43" t="s">
        <v>33</v>
      </c>
      <c r="F43" t="s">
        <v>3</v>
      </c>
      <c r="G43">
        <v>-0.701654</v>
      </c>
      <c r="H43">
        <v>1.813223</v>
      </c>
      <c r="I43">
        <v>6.6361610000000004</v>
      </c>
      <c r="J43">
        <v>5.6547039999999997</v>
      </c>
      <c r="K43">
        <v>244.19470000000001</v>
      </c>
      <c r="L43">
        <v>356.89269999999999</v>
      </c>
    </row>
    <row r="44" spans="1:12" x14ac:dyDescent="0.2">
      <c r="A44" s="1">
        <v>42963.550613425927</v>
      </c>
      <c r="B44">
        <v>2104.4989999999998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1.8107660000000001</v>
      </c>
      <c r="I44">
        <v>2.7240000000000002</v>
      </c>
      <c r="J44">
        <v>5.9387100000000004</v>
      </c>
      <c r="K44">
        <v>243.82749999999999</v>
      </c>
      <c r="L44">
        <v>356.86430000000001</v>
      </c>
    </row>
    <row r="45" spans="1:12" x14ac:dyDescent="0.2">
      <c r="A45" s="1">
        <v>42963.550659722219</v>
      </c>
      <c r="B45">
        <v>2108.4740000000002</v>
      </c>
      <c r="C45">
        <v>14</v>
      </c>
      <c r="D45" t="s">
        <v>35</v>
      </c>
      <c r="E45" t="s">
        <v>5</v>
      </c>
      <c r="F45" t="s">
        <v>2</v>
      </c>
      <c r="G45">
        <v>3.7824980000000001E-2</v>
      </c>
      <c r="H45">
        <v>1.7896449999999999</v>
      </c>
      <c r="I45">
        <v>2.724869</v>
      </c>
      <c r="J45">
        <v>17.68863</v>
      </c>
      <c r="K45">
        <v>193.29640000000001</v>
      </c>
      <c r="L45">
        <v>356.09480000000002</v>
      </c>
    </row>
    <row r="46" spans="1:12" x14ac:dyDescent="0.2">
      <c r="A46" s="1">
        <v>42963.551018518519</v>
      </c>
      <c r="B46">
        <v>2139.3919999999998</v>
      </c>
      <c r="C46">
        <v>14</v>
      </c>
      <c r="D46" t="s">
        <v>36</v>
      </c>
      <c r="E46" t="s">
        <v>5</v>
      </c>
      <c r="F46" t="s">
        <v>2</v>
      </c>
      <c r="G46">
        <v>1.8123480000000001</v>
      </c>
      <c r="H46">
        <v>1.819509</v>
      </c>
      <c r="I46">
        <v>-6.4648370000000002</v>
      </c>
      <c r="J46">
        <v>12.33503</v>
      </c>
      <c r="K46">
        <v>350.65289999999999</v>
      </c>
      <c r="L46">
        <v>356.07229999999998</v>
      </c>
    </row>
    <row r="47" spans="1:12" x14ac:dyDescent="0.2">
      <c r="A47" s="1">
        <v>42963.551030092596</v>
      </c>
      <c r="B47">
        <v>2140.6129999999998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1.8189919999999999</v>
      </c>
      <c r="I47">
        <v>0.09</v>
      </c>
      <c r="J47">
        <v>11.278460000000001</v>
      </c>
      <c r="K47">
        <v>351.65879999999999</v>
      </c>
      <c r="L47">
        <v>355.84870000000001</v>
      </c>
    </row>
    <row r="48" spans="1:12" x14ac:dyDescent="0.2">
      <c r="A48" s="1">
        <v>42963.551099537035</v>
      </c>
      <c r="B48">
        <v>2146.4349999999999</v>
      </c>
      <c r="C48">
        <v>15</v>
      </c>
      <c r="D48" t="s">
        <v>35</v>
      </c>
      <c r="E48" t="s">
        <v>6</v>
      </c>
      <c r="F48" t="s">
        <v>33</v>
      </c>
      <c r="G48">
        <v>-4.1444330000000003</v>
      </c>
      <c r="H48">
        <v>1.8189219999999999</v>
      </c>
      <c r="I48">
        <v>0.14386489999999999</v>
      </c>
      <c r="J48">
        <v>11.104839999999999</v>
      </c>
      <c r="K48">
        <v>278.09629999999999</v>
      </c>
      <c r="L48">
        <v>358.24540000000002</v>
      </c>
    </row>
    <row r="49" spans="1:12" x14ac:dyDescent="0.2">
      <c r="A49" s="1">
        <v>42963.551574074074</v>
      </c>
      <c r="B49">
        <v>2187.81</v>
      </c>
      <c r="C49">
        <v>15</v>
      </c>
      <c r="D49" t="s">
        <v>36</v>
      </c>
      <c r="E49" t="s">
        <v>6</v>
      </c>
      <c r="F49" t="s">
        <v>33</v>
      </c>
      <c r="G49">
        <v>2.164005</v>
      </c>
      <c r="H49">
        <v>1.8182780000000001</v>
      </c>
      <c r="I49">
        <v>-7.116206</v>
      </c>
      <c r="J49">
        <v>9.6171100000000003</v>
      </c>
      <c r="K49">
        <v>86.123639999999995</v>
      </c>
      <c r="L49">
        <v>355.54199999999997</v>
      </c>
    </row>
    <row r="50" spans="1:12" x14ac:dyDescent="0.2">
      <c r="A50" s="1">
        <v>42963.551585648151</v>
      </c>
      <c r="B50">
        <v>2188.9650000000001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1.818095</v>
      </c>
      <c r="I50">
        <v>-0.67300000000000004</v>
      </c>
      <c r="J50">
        <v>9.3811979999999995</v>
      </c>
      <c r="K50">
        <v>87.759219999999999</v>
      </c>
      <c r="L50">
        <v>355.50909999999999</v>
      </c>
    </row>
    <row r="51" spans="1:12" x14ac:dyDescent="0.2">
      <c r="A51" s="1">
        <v>42963.551655092589</v>
      </c>
      <c r="B51">
        <v>2194.8870000000002</v>
      </c>
      <c r="C51">
        <v>16</v>
      </c>
      <c r="D51" t="s">
        <v>35</v>
      </c>
      <c r="E51" t="s">
        <v>4</v>
      </c>
      <c r="F51" t="s">
        <v>6</v>
      </c>
      <c r="G51">
        <v>3.6424560000000001</v>
      </c>
      <c r="H51">
        <v>1.7987660000000001</v>
      </c>
      <c r="I51">
        <v>-0.81751479999999999</v>
      </c>
      <c r="J51">
        <v>16.292570000000001</v>
      </c>
      <c r="K51">
        <v>273.88830000000002</v>
      </c>
      <c r="L51">
        <v>357.28250000000003</v>
      </c>
    </row>
    <row r="52" spans="1:12" x14ac:dyDescent="0.2">
      <c r="A52" s="1">
        <v>42963.552048611113</v>
      </c>
      <c r="B52">
        <v>2228.1320000000001</v>
      </c>
      <c r="C52">
        <v>16</v>
      </c>
      <c r="D52" t="s">
        <v>36</v>
      </c>
      <c r="E52" t="s">
        <v>4</v>
      </c>
      <c r="F52" t="s">
        <v>6</v>
      </c>
      <c r="G52">
        <v>-6.7402150000000001</v>
      </c>
      <c r="H52">
        <v>1.822424</v>
      </c>
      <c r="I52">
        <v>-3.5763750000000001</v>
      </c>
      <c r="J52">
        <v>4.8727679999999998</v>
      </c>
      <c r="K52">
        <v>354.4513</v>
      </c>
      <c r="L52">
        <v>354.91660000000002</v>
      </c>
    </row>
    <row r="53" spans="1:12" x14ac:dyDescent="0.2">
      <c r="A53" s="1">
        <v>42963.552060185182</v>
      </c>
      <c r="B53">
        <v>2229.152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1.8165210000000001</v>
      </c>
      <c r="I53">
        <v>1.8169999999999999</v>
      </c>
      <c r="J53">
        <v>5.184774</v>
      </c>
      <c r="K53">
        <v>352.28750000000002</v>
      </c>
      <c r="L53">
        <v>356.51530000000002</v>
      </c>
    </row>
    <row r="54" spans="1:12" x14ac:dyDescent="0.2">
      <c r="A54" s="1">
        <v>42963.552118055559</v>
      </c>
      <c r="B54">
        <v>2234.7069999999999</v>
      </c>
      <c r="C54">
        <v>17</v>
      </c>
      <c r="D54" t="s">
        <v>35</v>
      </c>
      <c r="E54" t="s">
        <v>3</v>
      </c>
      <c r="F54" t="s">
        <v>4</v>
      </c>
      <c r="G54">
        <v>3.4312559999999999</v>
      </c>
      <c r="H54">
        <v>1.7968729999999999</v>
      </c>
      <c r="I54">
        <v>1.8783829999999999</v>
      </c>
      <c r="J54">
        <v>17.329070000000002</v>
      </c>
      <c r="K54">
        <v>81.097700000000003</v>
      </c>
      <c r="L54">
        <v>356.11799999999999</v>
      </c>
    </row>
    <row r="55" spans="1:12" x14ac:dyDescent="0.2">
      <c r="A55" s="1">
        <v>42963.55228009259</v>
      </c>
      <c r="B55">
        <v>2248.9949999999999</v>
      </c>
      <c r="C55">
        <v>17</v>
      </c>
      <c r="D55" t="s">
        <v>36</v>
      </c>
      <c r="E55" t="s">
        <v>3</v>
      </c>
      <c r="F55" t="s">
        <v>4</v>
      </c>
      <c r="G55">
        <v>6.5317990000000004</v>
      </c>
      <c r="H55">
        <v>1.8234859999999999</v>
      </c>
      <c r="I55">
        <v>0.77745969999999998</v>
      </c>
      <c r="J55">
        <v>12.09958</v>
      </c>
      <c r="K55">
        <v>357.08960000000002</v>
      </c>
      <c r="L55">
        <v>354.4366</v>
      </c>
    </row>
    <row r="56" spans="1:12" x14ac:dyDescent="0.2">
      <c r="A56" s="1">
        <v>42963.552442129629</v>
      </c>
      <c r="B56">
        <v>2262.7979999999998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1.8159080000000001</v>
      </c>
      <c r="I56">
        <v>-4.3440000000000003</v>
      </c>
      <c r="J56">
        <v>4.9249109999999998</v>
      </c>
      <c r="K56">
        <v>106.2008</v>
      </c>
      <c r="L56">
        <v>357.94720000000001</v>
      </c>
    </row>
    <row r="57" spans="1:12" x14ac:dyDescent="0.2">
      <c r="A57" s="1">
        <v>42963.552546296298</v>
      </c>
      <c r="B57">
        <v>2271.933</v>
      </c>
      <c r="C57">
        <v>18</v>
      </c>
      <c r="D57" t="s">
        <v>35</v>
      </c>
      <c r="E57" t="s">
        <v>2</v>
      </c>
      <c r="F57" t="s">
        <v>0</v>
      </c>
      <c r="G57">
        <v>3.6413250000000001</v>
      </c>
      <c r="H57">
        <v>1.8199000000000001</v>
      </c>
      <c r="I57">
        <v>-4.4162470000000003</v>
      </c>
      <c r="J57">
        <v>4.8585289999999999</v>
      </c>
      <c r="K57">
        <v>259.55599999999998</v>
      </c>
      <c r="L57">
        <v>356.37650000000002</v>
      </c>
    </row>
    <row r="58" spans="1:12" x14ac:dyDescent="0.2">
      <c r="A58" s="1">
        <v>42963.552766203706</v>
      </c>
      <c r="B58">
        <v>2290.84</v>
      </c>
      <c r="C58">
        <v>18</v>
      </c>
      <c r="D58" t="s">
        <v>36</v>
      </c>
      <c r="E58" t="s">
        <v>2</v>
      </c>
      <c r="F58" t="s">
        <v>0</v>
      </c>
      <c r="G58">
        <v>-2.0152220000000001</v>
      </c>
      <c r="H58">
        <v>1.823728</v>
      </c>
      <c r="I58">
        <v>-7.550389</v>
      </c>
      <c r="J58">
        <v>8.2047819999999998</v>
      </c>
      <c r="K58">
        <v>345.85750000000002</v>
      </c>
      <c r="L58">
        <v>352.84410000000003</v>
      </c>
    </row>
    <row r="59" spans="1:12" x14ac:dyDescent="0.2">
      <c r="A59" s="1">
        <v>42963.552789351852</v>
      </c>
      <c r="B59">
        <v>2292.5300000000002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1.82609</v>
      </c>
      <c r="I59">
        <v>-0.67300000000000004</v>
      </c>
      <c r="J59">
        <v>5.1755420000000001</v>
      </c>
      <c r="K59">
        <v>343.2491</v>
      </c>
      <c r="L59">
        <v>355.87869999999998</v>
      </c>
    </row>
    <row r="60" spans="1:12" x14ac:dyDescent="0.2">
      <c r="A60" s="1">
        <v>42963.552847222221</v>
      </c>
      <c r="B60">
        <v>2297.8000000000002</v>
      </c>
      <c r="C60">
        <v>19</v>
      </c>
      <c r="D60" t="s">
        <v>35</v>
      </c>
      <c r="E60" t="s">
        <v>4</v>
      </c>
      <c r="F60" t="s">
        <v>6</v>
      </c>
      <c r="G60">
        <v>3.8157679999999998</v>
      </c>
      <c r="H60">
        <v>1.7917149999999999</v>
      </c>
      <c r="I60">
        <v>-0.69332510000000003</v>
      </c>
      <c r="J60">
        <v>24.382159999999999</v>
      </c>
      <c r="K60">
        <v>355.69729999999998</v>
      </c>
      <c r="L60">
        <v>355.60919999999999</v>
      </c>
    </row>
    <row r="61" spans="1:12" x14ac:dyDescent="0.2">
      <c r="A61" s="1">
        <v>42963.55327546296</v>
      </c>
      <c r="B61">
        <v>2334.259</v>
      </c>
      <c r="C61">
        <v>19</v>
      </c>
      <c r="D61" t="s">
        <v>36</v>
      </c>
      <c r="E61" t="s">
        <v>4</v>
      </c>
      <c r="F61" t="s">
        <v>6</v>
      </c>
      <c r="G61">
        <v>-4.6134899999999996</v>
      </c>
      <c r="H61">
        <v>1.8089299999999999</v>
      </c>
      <c r="I61">
        <v>4.6545350000000001</v>
      </c>
      <c r="J61">
        <v>14.23828</v>
      </c>
      <c r="K61">
        <v>73.652010000000004</v>
      </c>
      <c r="L61">
        <v>355.38900000000001</v>
      </c>
    </row>
    <row r="62" spans="1:12" x14ac:dyDescent="0.2">
      <c r="A62" s="1">
        <v>42963.553287037037</v>
      </c>
      <c r="B62">
        <v>2335.3130000000001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1.81009</v>
      </c>
      <c r="I62">
        <v>-1.4059999999999999</v>
      </c>
      <c r="J62">
        <v>13.64831</v>
      </c>
      <c r="K62">
        <v>72.961269999999999</v>
      </c>
      <c r="L62">
        <v>355.58929999999998</v>
      </c>
    </row>
    <row r="63" spans="1:12" x14ac:dyDescent="0.2">
      <c r="A63" s="1">
        <v>42963.553368055553</v>
      </c>
      <c r="B63">
        <v>2342.9430000000002</v>
      </c>
      <c r="C63">
        <v>20</v>
      </c>
      <c r="D63" t="s">
        <v>35</v>
      </c>
      <c r="E63" t="s">
        <v>33</v>
      </c>
      <c r="F63" t="s">
        <v>3</v>
      </c>
      <c r="G63">
        <v>-3.9005429999999999</v>
      </c>
      <c r="H63">
        <v>1.7912090000000001</v>
      </c>
      <c r="I63">
        <v>-1.3842680000000001</v>
      </c>
      <c r="J63">
        <v>18.92604</v>
      </c>
      <c r="K63">
        <v>172.37549999999999</v>
      </c>
      <c r="L63">
        <v>352.24489999999997</v>
      </c>
    </row>
    <row r="64" spans="1:12" x14ac:dyDescent="0.2">
      <c r="A64" s="1">
        <v>42963.55369212963</v>
      </c>
      <c r="B64">
        <v>2370.3510000000001</v>
      </c>
      <c r="C64">
        <v>20</v>
      </c>
      <c r="D64" t="s">
        <v>36</v>
      </c>
      <c r="E64" t="s">
        <v>33</v>
      </c>
      <c r="F64" t="s">
        <v>3</v>
      </c>
      <c r="G64">
        <v>2.8105259999999999</v>
      </c>
      <c r="H64">
        <v>1.8087299999999999</v>
      </c>
      <c r="I64">
        <v>5.6832770000000004</v>
      </c>
      <c r="J64">
        <v>11.439719999999999</v>
      </c>
      <c r="K64">
        <v>160.62809999999999</v>
      </c>
      <c r="L64">
        <v>354.77730000000003</v>
      </c>
    </row>
    <row r="65" spans="1:12" x14ac:dyDescent="0.2">
      <c r="A65" s="1">
        <v>42963.553715277776</v>
      </c>
      <c r="B65">
        <v>2372.5419999999999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1.8070040000000001</v>
      </c>
      <c r="I65">
        <v>-4.117</v>
      </c>
      <c r="J65">
        <v>8.9082430000000006</v>
      </c>
      <c r="K65">
        <v>162.3603</v>
      </c>
      <c r="L65">
        <v>355.11309999999997</v>
      </c>
    </row>
    <row r="66" spans="1:12" x14ac:dyDescent="0.2">
      <c r="A66" s="1">
        <v>42963.553807870368</v>
      </c>
      <c r="B66">
        <v>2380.4740000000002</v>
      </c>
      <c r="C66">
        <v>21</v>
      </c>
      <c r="D66" t="s">
        <v>35</v>
      </c>
      <c r="E66" t="s">
        <v>0</v>
      </c>
      <c r="F66" t="s">
        <v>1</v>
      </c>
      <c r="G66">
        <v>-0.85506979999999999</v>
      </c>
      <c r="H66">
        <v>1.7808809999999999</v>
      </c>
      <c r="I66">
        <v>-4.2465169999999999</v>
      </c>
      <c r="J66">
        <v>21.797779999999999</v>
      </c>
      <c r="K66">
        <v>102.6982</v>
      </c>
      <c r="L66">
        <v>357.38459999999998</v>
      </c>
    </row>
    <row r="67" spans="1:12" x14ac:dyDescent="0.2">
      <c r="A67" s="1">
        <v>42963.554027777776</v>
      </c>
      <c r="B67">
        <v>2399.5630000000001</v>
      </c>
      <c r="C67">
        <v>21</v>
      </c>
      <c r="D67" t="s">
        <v>36</v>
      </c>
      <c r="E67" t="s">
        <v>0</v>
      </c>
      <c r="F67" t="s">
        <v>1</v>
      </c>
      <c r="G67">
        <v>0.96846520000000003</v>
      </c>
      <c r="H67">
        <v>1.8180639999999999</v>
      </c>
      <c r="I67">
        <v>0.91458890000000004</v>
      </c>
      <c r="J67">
        <v>12.06221</v>
      </c>
      <c r="K67">
        <v>296.64830000000001</v>
      </c>
      <c r="L67">
        <v>354.72289999999998</v>
      </c>
    </row>
    <row r="68" spans="1:12" x14ac:dyDescent="0.2">
      <c r="A68" s="1">
        <v>42963.554131944446</v>
      </c>
      <c r="B68">
        <v>2409.0329999999999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1.8166249999999999</v>
      </c>
      <c r="I68">
        <v>4.1399999999999997</v>
      </c>
      <c r="J68">
        <v>7.701562</v>
      </c>
      <c r="K68">
        <v>50.211750000000002</v>
      </c>
      <c r="L68">
        <v>357.76639999999998</v>
      </c>
    </row>
    <row r="69" spans="1:12" x14ac:dyDescent="0.2">
      <c r="A69" s="1">
        <v>42963.554224537038</v>
      </c>
      <c r="B69">
        <v>2416.462</v>
      </c>
      <c r="C69">
        <v>22</v>
      </c>
      <c r="D69" t="s">
        <v>35</v>
      </c>
      <c r="E69" t="s">
        <v>1</v>
      </c>
      <c r="F69" t="s">
        <v>5</v>
      </c>
      <c r="G69">
        <v>-4.0022880000000001</v>
      </c>
      <c r="H69">
        <v>1.792165</v>
      </c>
      <c r="I69">
        <v>4.0276680000000002</v>
      </c>
      <c r="J69">
        <v>18.69501</v>
      </c>
      <c r="K69">
        <v>126.465</v>
      </c>
      <c r="L69">
        <v>351.86149999999998</v>
      </c>
    </row>
    <row r="70" spans="1:12" x14ac:dyDescent="0.2">
      <c r="A70" s="1">
        <v>42963.554432870369</v>
      </c>
      <c r="B70">
        <v>2434.415</v>
      </c>
      <c r="C70">
        <v>22</v>
      </c>
      <c r="D70" t="s">
        <v>36</v>
      </c>
      <c r="E70" t="s">
        <v>1</v>
      </c>
      <c r="F70" t="s">
        <v>5</v>
      </c>
      <c r="G70">
        <v>-2.8074409999999999</v>
      </c>
      <c r="H70">
        <v>1.790387</v>
      </c>
      <c r="I70">
        <v>-2.2006679999999998</v>
      </c>
      <c r="J70">
        <v>19.427910000000001</v>
      </c>
      <c r="K70">
        <v>350.07569999999998</v>
      </c>
      <c r="L70">
        <v>356.31040000000002</v>
      </c>
    </row>
    <row r="71" spans="1:12" x14ac:dyDescent="0.2">
      <c r="A71" s="1">
        <v>42963.555023148147</v>
      </c>
      <c r="B71">
        <v>2485.2440000000001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1.8107519999999999</v>
      </c>
      <c r="I71">
        <v>0.09</v>
      </c>
      <c r="J71">
        <v>6.9155660000000001</v>
      </c>
      <c r="K71">
        <v>252.09909999999999</v>
      </c>
      <c r="L71">
        <v>356.16609999999997</v>
      </c>
    </row>
    <row r="72" spans="1:12" x14ac:dyDescent="0.2">
      <c r="A72" s="1">
        <v>42963.555196759262</v>
      </c>
      <c r="B72">
        <v>2500.4520000000002</v>
      </c>
      <c r="C72">
        <v>23</v>
      </c>
      <c r="D72" t="s">
        <v>35</v>
      </c>
      <c r="E72" t="s">
        <v>6</v>
      </c>
      <c r="F72" t="s">
        <v>33</v>
      </c>
      <c r="G72">
        <v>-4.0420980000000002</v>
      </c>
      <c r="H72">
        <v>1.7883800000000001</v>
      </c>
      <c r="I72">
        <v>3.3265999999999997E-2</v>
      </c>
      <c r="J72">
        <v>19.20412</v>
      </c>
      <c r="K72">
        <v>59.649439999999998</v>
      </c>
      <c r="L72">
        <v>354.89710000000002</v>
      </c>
    </row>
    <row r="73" spans="1:12" x14ac:dyDescent="0.2">
      <c r="A73" s="1">
        <v>42963.555509259262</v>
      </c>
      <c r="B73">
        <v>2527.2550000000001</v>
      </c>
      <c r="C73">
        <v>23</v>
      </c>
      <c r="D73" t="s">
        <v>36</v>
      </c>
      <c r="E73" t="s">
        <v>6</v>
      </c>
      <c r="F73" t="s">
        <v>33</v>
      </c>
      <c r="G73">
        <v>3.7458279999999999</v>
      </c>
      <c r="H73">
        <v>1.800128</v>
      </c>
      <c r="I73">
        <v>-0.23731450000000001</v>
      </c>
      <c r="J73">
        <v>14.111370000000001</v>
      </c>
      <c r="K73">
        <v>128.0729</v>
      </c>
      <c r="L73">
        <v>355.41860000000003</v>
      </c>
    </row>
    <row r="74" spans="1:12" x14ac:dyDescent="0.2">
      <c r="A74" s="1">
        <v>42963.555636574078</v>
      </c>
      <c r="B74">
        <v>2538.732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1.818919</v>
      </c>
      <c r="I74">
        <v>2.7240000000000002</v>
      </c>
      <c r="J74">
        <v>6.9935650000000003</v>
      </c>
      <c r="K74">
        <v>204.13</v>
      </c>
      <c r="L74">
        <v>356.56279999999998</v>
      </c>
    </row>
    <row r="75" spans="1:12" x14ac:dyDescent="0.2">
      <c r="A75" s="1">
        <v>42963.555706018517</v>
      </c>
      <c r="B75">
        <v>2544.94</v>
      </c>
      <c r="C75">
        <v>24</v>
      </c>
      <c r="D75" t="s">
        <v>35</v>
      </c>
      <c r="E75" t="s">
        <v>5</v>
      </c>
      <c r="F75" t="s">
        <v>2</v>
      </c>
      <c r="G75">
        <v>-3.2280879999999998E-2</v>
      </c>
      <c r="H75">
        <v>1.8020339999999999</v>
      </c>
      <c r="I75">
        <v>2.710296</v>
      </c>
      <c r="J75">
        <v>12.49864</v>
      </c>
      <c r="K75">
        <v>94.150139999999993</v>
      </c>
      <c r="L75">
        <v>357.25310000000002</v>
      </c>
    </row>
    <row r="76" spans="1:12" x14ac:dyDescent="0.2">
      <c r="A76" s="1">
        <v>42963.556006944447</v>
      </c>
      <c r="B76">
        <v>2570.2559999999999</v>
      </c>
      <c r="C76">
        <v>24</v>
      </c>
      <c r="D76" t="s">
        <v>36</v>
      </c>
      <c r="E76" t="s">
        <v>5</v>
      </c>
      <c r="F76" t="s">
        <v>2</v>
      </c>
      <c r="G76">
        <v>0.3364337</v>
      </c>
      <c r="H76">
        <v>1.80254</v>
      </c>
      <c r="I76">
        <v>-6.4603479999999998</v>
      </c>
      <c r="J76">
        <v>11.497529999999999</v>
      </c>
      <c r="K76">
        <v>233.22319999999999</v>
      </c>
      <c r="L76">
        <v>352.95049999999998</v>
      </c>
    </row>
    <row r="77" spans="1:12" x14ac:dyDescent="0.2">
      <c r="A77" s="1">
        <v>42963.556018518517</v>
      </c>
      <c r="B77">
        <v>2571.2759999999998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1.8066720000000001</v>
      </c>
      <c r="I77">
        <v>4.1399999999999997</v>
      </c>
      <c r="J77">
        <v>11.226050000000001</v>
      </c>
      <c r="K77">
        <v>230.83600000000001</v>
      </c>
      <c r="L77">
        <v>357.3689</v>
      </c>
    </row>
    <row r="78" spans="1:12" x14ac:dyDescent="0.2">
      <c r="A78" s="1">
        <v>42963.556134259263</v>
      </c>
      <c r="B78">
        <v>2582.0509999999999</v>
      </c>
      <c r="C78">
        <v>25</v>
      </c>
      <c r="D78" t="s">
        <v>35</v>
      </c>
      <c r="E78" t="s">
        <v>1</v>
      </c>
      <c r="F78" t="s">
        <v>5</v>
      </c>
      <c r="G78">
        <v>-4.1311249999999999</v>
      </c>
      <c r="H78">
        <v>1.796098</v>
      </c>
      <c r="I78">
        <v>4.2399170000000002</v>
      </c>
      <c r="J78">
        <v>12.19191</v>
      </c>
      <c r="K78">
        <v>149.48689999999999</v>
      </c>
      <c r="L78">
        <v>355.70659999999998</v>
      </c>
    </row>
    <row r="79" spans="1:12" x14ac:dyDescent="0.2">
      <c r="A79" s="1">
        <v>42963.556747685187</v>
      </c>
      <c r="B79">
        <v>2634.2570000000001</v>
      </c>
      <c r="C79">
        <v>25</v>
      </c>
      <c r="D79" t="s">
        <v>36</v>
      </c>
      <c r="E79" t="s">
        <v>1</v>
      </c>
      <c r="F79" t="s">
        <v>5</v>
      </c>
      <c r="G79">
        <v>-1.1663840000000001</v>
      </c>
      <c r="H79">
        <v>1.808859</v>
      </c>
      <c r="I79">
        <v>3.8968609999999999</v>
      </c>
      <c r="J79">
        <v>2.158344</v>
      </c>
      <c r="K79">
        <v>305.42149999999998</v>
      </c>
      <c r="L79">
        <v>358.5421</v>
      </c>
    </row>
    <row r="80" spans="1:12" x14ac:dyDescent="0.2">
      <c r="A80" s="1">
        <v>42963.556817129633</v>
      </c>
      <c r="B80">
        <v>2641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1.815847</v>
      </c>
      <c r="I80">
        <v>-0.67300000000000004</v>
      </c>
      <c r="J80">
        <v>0.80803480000000005</v>
      </c>
      <c r="K80">
        <v>297.07619999999997</v>
      </c>
      <c r="L80">
        <v>358.86279999999999</v>
      </c>
    </row>
    <row r="81" spans="1:12" x14ac:dyDescent="0.2">
      <c r="A81" s="1">
        <v>42963.557002314818</v>
      </c>
      <c r="B81">
        <v>2656.9459999999999</v>
      </c>
      <c r="C81">
        <v>26</v>
      </c>
      <c r="D81" t="s">
        <v>35</v>
      </c>
      <c r="E81" t="s">
        <v>4</v>
      </c>
      <c r="F81" t="s">
        <v>6</v>
      </c>
      <c r="G81">
        <v>3.8130510000000002</v>
      </c>
      <c r="H81">
        <v>1.803966</v>
      </c>
      <c r="I81">
        <v>-0.67461590000000005</v>
      </c>
      <c r="J81">
        <v>10.977959999999999</v>
      </c>
      <c r="K81">
        <v>237.17400000000001</v>
      </c>
      <c r="L81">
        <v>357.10950000000003</v>
      </c>
    </row>
    <row r="82" spans="1:12" x14ac:dyDescent="0.2">
      <c r="A82" s="1">
        <v>42963.557314814818</v>
      </c>
      <c r="B82">
        <v>2683.4650000000001</v>
      </c>
      <c r="C82">
        <v>26</v>
      </c>
      <c r="D82" t="s">
        <v>36</v>
      </c>
      <c r="E82" t="s">
        <v>4</v>
      </c>
      <c r="F82" t="s">
        <v>6</v>
      </c>
      <c r="G82">
        <v>-6.0024490000000004</v>
      </c>
      <c r="H82">
        <v>1.8158369999999999</v>
      </c>
      <c r="I82">
        <v>-0.86259010000000003</v>
      </c>
      <c r="J82">
        <v>6.5998650000000003</v>
      </c>
      <c r="K82">
        <v>157.7159</v>
      </c>
      <c r="L82">
        <v>353.8141</v>
      </c>
    </row>
    <row r="83" spans="1:12" x14ac:dyDescent="0.2">
      <c r="A83" s="1">
        <v>42963.55740740741</v>
      </c>
      <c r="B83">
        <v>2692.0320000000002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1.820926</v>
      </c>
      <c r="I83">
        <v>2.7240000000000002</v>
      </c>
      <c r="J83">
        <v>5.0231279999999998</v>
      </c>
      <c r="K83">
        <v>309.39980000000003</v>
      </c>
      <c r="L83">
        <v>358.87490000000003</v>
      </c>
    </row>
    <row r="84" spans="1:12" x14ac:dyDescent="0.2">
      <c r="A84" s="1">
        <v>42963.557488425926</v>
      </c>
      <c r="B84">
        <v>2698.7919999999999</v>
      </c>
      <c r="C84">
        <v>27</v>
      </c>
      <c r="D84" t="s">
        <v>35</v>
      </c>
      <c r="E84" t="s">
        <v>5</v>
      </c>
      <c r="F84" t="s">
        <v>2</v>
      </c>
      <c r="G84">
        <v>2.8854589999999999E-2</v>
      </c>
      <c r="H84">
        <v>1.8047470000000001</v>
      </c>
      <c r="I84">
        <v>2.6358649999999999</v>
      </c>
      <c r="J84">
        <v>17.938310000000001</v>
      </c>
      <c r="K84">
        <v>218.04730000000001</v>
      </c>
      <c r="L84">
        <v>357.16370000000001</v>
      </c>
    </row>
    <row r="85" spans="1:12" x14ac:dyDescent="0.2">
      <c r="A85" s="1">
        <v>42963.557766203703</v>
      </c>
      <c r="B85">
        <v>2722.6529999999998</v>
      </c>
      <c r="C85">
        <v>27</v>
      </c>
      <c r="D85" t="s">
        <v>36</v>
      </c>
      <c r="E85" t="s">
        <v>5</v>
      </c>
      <c r="F85" t="s">
        <v>2</v>
      </c>
      <c r="G85">
        <v>1.606217</v>
      </c>
      <c r="H85">
        <v>1.8049269999999999</v>
      </c>
      <c r="I85">
        <v>-5.2771980000000003</v>
      </c>
      <c r="J85">
        <v>10.628439999999999</v>
      </c>
      <c r="K85">
        <v>157.4528</v>
      </c>
      <c r="L85">
        <v>354.32069999999999</v>
      </c>
    </row>
    <row r="86" spans="1:12" x14ac:dyDescent="0.2">
      <c r="A86" s="1">
        <v>42963.557800925926</v>
      </c>
      <c r="B86">
        <v>2725.1129999999998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1.806335</v>
      </c>
      <c r="I86">
        <v>-4.117</v>
      </c>
      <c r="J86">
        <v>7.9865490000000001</v>
      </c>
      <c r="K86">
        <v>159.94479999999999</v>
      </c>
      <c r="L86">
        <v>358.3766</v>
      </c>
    </row>
    <row r="87" spans="1:12" x14ac:dyDescent="0.2">
      <c r="A87" s="1">
        <v>42963.557881944442</v>
      </c>
      <c r="B87">
        <v>2732.5250000000001</v>
      </c>
      <c r="C87">
        <v>28</v>
      </c>
      <c r="D87" t="s">
        <v>35</v>
      </c>
      <c r="E87" t="s">
        <v>0</v>
      </c>
      <c r="F87" t="s">
        <v>1</v>
      </c>
      <c r="G87">
        <v>-0.89417340000000001</v>
      </c>
      <c r="H87">
        <v>1.801912</v>
      </c>
      <c r="I87">
        <v>-4.4024260000000002</v>
      </c>
      <c r="J87">
        <v>12.304880000000001</v>
      </c>
      <c r="K87">
        <v>357.88229999999999</v>
      </c>
      <c r="L87">
        <v>358.0575</v>
      </c>
    </row>
    <row r="88" spans="1:12" x14ac:dyDescent="0.2">
      <c r="A88" s="1">
        <v>42963.558217592596</v>
      </c>
      <c r="B88">
        <v>2761.3890000000001</v>
      </c>
      <c r="C88">
        <v>28</v>
      </c>
      <c r="D88" t="s">
        <v>36</v>
      </c>
      <c r="E88" t="s">
        <v>0</v>
      </c>
      <c r="F88" t="s">
        <v>1</v>
      </c>
      <c r="G88">
        <v>4.8860650000000003</v>
      </c>
      <c r="H88">
        <v>1.8226519999999999</v>
      </c>
      <c r="I88">
        <v>5.2771020000000002</v>
      </c>
      <c r="J88">
        <v>6.9686469999999998</v>
      </c>
      <c r="K88">
        <v>337.64400000000001</v>
      </c>
      <c r="L88">
        <v>355.68540000000002</v>
      </c>
    </row>
    <row r="89" spans="1:12" x14ac:dyDescent="0.2">
      <c r="A89" s="1">
        <v>42963.558229166665</v>
      </c>
      <c r="B89">
        <v>2762.4940000000001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1.8227439999999999</v>
      </c>
      <c r="I89">
        <v>-1.4059999999999999</v>
      </c>
      <c r="J89">
        <v>6.5601510000000003</v>
      </c>
      <c r="K89">
        <v>336.87509999999997</v>
      </c>
      <c r="L89">
        <v>355.6071</v>
      </c>
    </row>
    <row r="90" spans="1:12" x14ac:dyDescent="0.2">
      <c r="A90" s="1">
        <v>42963.558275462965</v>
      </c>
      <c r="B90">
        <v>2766.8270000000002</v>
      </c>
      <c r="C90">
        <v>29</v>
      </c>
      <c r="D90" t="s">
        <v>35</v>
      </c>
      <c r="E90" t="s">
        <v>33</v>
      </c>
      <c r="F90" t="s">
        <v>3</v>
      </c>
      <c r="G90">
        <v>-4.0468130000000002</v>
      </c>
      <c r="H90">
        <v>1.812935</v>
      </c>
      <c r="I90">
        <v>-1.357013</v>
      </c>
      <c r="J90">
        <v>11.775180000000001</v>
      </c>
      <c r="K90">
        <v>300.15190000000001</v>
      </c>
      <c r="L90">
        <v>350.91539999999998</v>
      </c>
    </row>
    <row r="91" spans="1:12" x14ac:dyDescent="0.2">
      <c r="A91" s="1">
        <v>42963.558645833335</v>
      </c>
      <c r="B91">
        <v>2799.0030000000002</v>
      </c>
      <c r="C91">
        <v>29</v>
      </c>
      <c r="D91" t="s">
        <v>36</v>
      </c>
      <c r="E91" t="s">
        <v>33</v>
      </c>
      <c r="F91" t="s">
        <v>3</v>
      </c>
      <c r="G91">
        <v>1.3715470000000001</v>
      </c>
      <c r="H91">
        <v>1.816154</v>
      </c>
      <c r="I91">
        <v>7.9117449999999998</v>
      </c>
      <c r="J91">
        <v>4.0157949999999998</v>
      </c>
      <c r="K91">
        <v>60.417879999999997</v>
      </c>
      <c r="L91">
        <v>355.61040000000003</v>
      </c>
    </row>
    <row r="92" spans="1:12" x14ac:dyDescent="0.2">
      <c r="A92" s="1">
        <v>42963.558668981481</v>
      </c>
      <c r="B92">
        <v>2800.2579999999998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1.8134170000000001</v>
      </c>
      <c r="I92">
        <v>0.09</v>
      </c>
      <c r="J92">
        <v>4.863829</v>
      </c>
      <c r="K92">
        <v>56.165080000000003</v>
      </c>
      <c r="L92">
        <v>357.56450000000001</v>
      </c>
    </row>
    <row r="93" spans="1:12" x14ac:dyDescent="0.2">
      <c r="A93" s="1">
        <v>42963.558761574073</v>
      </c>
      <c r="B93">
        <v>2808.172</v>
      </c>
      <c r="C93">
        <v>30</v>
      </c>
      <c r="D93" t="s">
        <v>35</v>
      </c>
      <c r="E93" t="s">
        <v>6</v>
      </c>
      <c r="F93" t="s">
        <v>33</v>
      </c>
      <c r="G93">
        <v>-4.0274299999999998</v>
      </c>
      <c r="H93">
        <v>1.7784489999999999</v>
      </c>
      <c r="I93">
        <v>8.4201280000000003E-2</v>
      </c>
      <c r="J93">
        <v>14.94087</v>
      </c>
      <c r="K93">
        <v>40.237769999999998</v>
      </c>
      <c r="L93">
        <v>357.3562</v>
      </c>
    </row>
    <row r="94" spans="1:12" x14ac:dyDescent="0.2">
      <c r="A94" s="1">
        <v>42963.558923611112</v>
      </c>
      <c r="B94">
        <v>2822.7620000000002</v>
      </c>
      <c r="C94">
        <v>30</v>
      </c>
      <c r="D94" t="s">
        <v>36</v>
      </c>
      <c r="E94" t="s">
        <v>6</v>
      </c>
      <c r="F94" t="s">
        <v>33</v>
      </c>
      <c r="G94">
        <v>-2.9748239999999999</v>
      </c>
      <c r="H94">
        <v>1.8072010000000001</v>
      </c>
      <c r="I94">
        <v>-3.0441600000000002</v>
      </c>
      <c r="J94">
        <v>6.997833</v>
      </c>
      <c r="K94">
        <v>3.104517</v>
      </c>
      <c r="L94">
        <v>355.93520000000001</v>
      </c>
    </row>
    <row r="95" spans="1:12" x14ac:dyDescent="0.2">
      <c r="A95" s="1">
        <v>42963.558958333335</v>
      </c>
      <c r="B95">
        <v>2825.59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1.8160229999999999</v>
      </c>
      <c r="I95">
        <v>-4.3440000000000003</v>
      </c>
      <c r="J95">
        <v>6.3762819999999998</v>
      </c>
      <c r="K95">
        <v>358.38440000000003</v>
      </c>
      <c r="L95">
        <v>358.03550000000001</v>
      </c>
    </row>
    <row r="96" spans="1:12" x14ac:dyDescent="0.2">
      <c r="A96" s="1">
        <v>42963.559027777781</v>
      </c>
      <c r="B96">
        <v>2831.2289999999998</v>
      </c>
      <c r="C96">
        <v>31</v>
      </c>
      <c r="D96" t="s">
        <v>35</v>
      </c>
      <c r="E96" t="s">
        <v>2</v>
      </c>
      <c r="F96" t="s">
        <v>0</v>
      </c>
      <c r="G96">
        <v>3.5602689999999999</v>
      </c>
      <c r="H96">
        <v>1.80884</v>
      </c>
      <c r="I96">
        <v>-4.2158090000000001</v>
      </c>
      <c r="J96">
        <v>10.184659999999999</v>
      </c>
      <c r="K96">
        <v>200.13759999999999</v>
      </c>
      <c r="L96">
        <v>357.11599999999999</v>
      </c>
    </row>
    <row r="97" spans="1:12" x14ac:dyDescent="0.2">
      <c r="A97" s="1">
        <v>42963.559166666666</v>
      </c>
      <c r="B97">
        <v>2844.1120000000001</v>
      </c>
      <c r="C97">
        <v>31</v>
      </c>
      <c r="D97" t="s">
        <v>36</v>
      </c>
      <c r="E97" t="s">
        <v>2</v>
      </c>
      <c r="F97" t="s">
        <v>0</v>
      </c>
      <c r="G97">
        <v>0.27816030000000003</v>
      </c>
      <c r="H97">
        <v>1.8165830000000001</v>
      </c>
      <c r="I97">
        <v>-6.0286650000000002</v>
      </c>
      <c r="J97">
        <v>5.7314629999999998</v>
      </c>
      <c r="K97">
        <v>295.61360000000002</v>
      </c>
      <c r="L97">
        <v>354.85059999999999</v>
      </c>
    </row>
    <row r="98" spans="1:12" x14ac:dyDescent="0.2">
      <c r="A98" s="1">
        <v>42963.559201388889</v>
      </c>
      <c r="B98">
        <v>2846.79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1.81206</v>
      </c>
      <c r="I98">
        <v>1.8169999999999999</v>
      </c>
      <c r="J98">
        <v>7.2099820000000001</v>
      </c>
      <c r="K98">
        <v>295.97500000000002</v>
      </c>
      <c r="L98">
        <v>356.82850000000002</v>
      </c>
    </row>
    <row r="99" spans="1:12" x14ac:dyDescent="0.2">
      <c r="A99" s="1">
        <v>42963.559270833335</v>
      </c>
      <c r="B99">
        <v>2852.261</v>
      </c>
      <c r="C99">
        <v>32</v>
      </c>
      <c r="D99" t="s">
        <v>35</v>
      </c>
      <c r="E99" t="s">
        <v>3</v>
      </c>
      <c r="F99" t="s">
        <v>4</v>
      </c>
      <c r="G99">
        <v>3.373173</v>
      </c>
      <c r="H99">
        <v>1.7303189999999999</v>
      </c>
      <c r="I99">
        <v>2.0050270000000001</v>
      </c>
      <c r="J99">
        <v>35.29392</v>
      </c>
      <c r="K99">
        <v>60.572859999999999</v>
      </c>
      <c r="L99">
        <v>355.93920000000003</v>
      </c>
    </row>
    <row r="100" spans="1:12" x14ac:dyDescent="0.2">
      <c r="A100" s="1">
        <v>42963.559467592589</v>
      </c>
      <c r="B100">
        <v>2869.3939999999998</v>
      </c>
      <c r="C100">
        <v>32</v>
      </c>
      <c r="D100" t="s">
        <v>36</v>
      </c>
      <c r="E100" t="s">
        <v>3</v>
      </c>
      <c r="F100" t="s">
        <v>4</v>
      </c>
      <c r="G100">
        <v>5.4931029999999996</v>
      </c>
      <c r="H100">
        <v>1.7656940000000001</v>
      </c>
      <c r="I100">
        <v>4.1834160000000002</v>
      </c>
      <c r="J100">
        <v>12.80195</v>
      </c>
      <c r="K100">
        <v>253.32390000000001</v>
      </c>
      <c r="L100">
        <v>354.14359999999999</v>
      </c>
    </row>
    <row r="101" spans="1:12" x14ac:dyDescent="0.2">
      <c r="A101" s="1">
        <v>42963.560729166667</v>
      </c>
      <c r="B101">
        <v>2978.32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1.7840149999999999</v>
      </c>
      <c r="I101">
        <v>0.09</v>
      </c>
      <c r="J101">
        <v>8.5419850000000004</v>
      </c>
      <c r="K101">
        <v>316.68689999999998</v>
      </c>
      <c r="L101">
        <v>357.79700000000003</v>
      </c>
    </row>
    <row r="102" spans="1:12" x14ac:dyDescent="0.2">
      <c r="A102" s="1">
        <v>42963.560833333337</v>
      </c>
      <c r="B102">
        <v>2987.5549999999998</v>
      </c>
      <c r="C102">
        <v>33</v>
      </c>
      <c r="D102" t="s">
        <v>35</v>
      </c>
      <c r="E102" t="s">
        <v>6</v>
      </c>
      <c r="F102" t="s">
        <v>33</v>
      </c>
      <c r="G102">
        <v>-4.0725110000000004</v>
      </c>
      <c r="H102">
        <v>1.796092</v>
      </c>
      <c r="I102">
        <v>9.1352240000000008E-3</v>
      </c>
      <c r="J102">
        <v>16.2288</v>
      </c>
      <c r="K102">
        <v>166.32660000000001</v>
      </c>
      <c r="L102">
        <v>354.81020000000001</v>
      </c>
    </row>
    <row r="103" spans="1:12" x14ac:dyDescent="0.2">
      <c r="A103" s="1">
        <v>42963.561064814814</v>
      </c>
      <c r="B103">
        <v>3007.23</v>
      </c>
      <c r="C103">
        <v>33</v>
      </c>
      <c r="D103" t="s">
        <v>36</v>
      </c>
      <c r="E103" t="s">
        <v>6</v>
      </c>
      <c r="F103" t="s">
        <v>33</v>
      </c>
      <c r="G103">
        <v>-3.210181</v>
      </c>
      <c r="H103">
        <v>1.807415</v>
      </c>
      <c r="I103">
        <v>-1.9866779999999999</v>
      </c>
      <c r="J103">
        <v>10.096550000000001</v>
      </c>
      <c r="K103">
        <v>43.934130000000003</v>
      </c>
      <c r="L103">
        <v>355.3107</v>
      </c>
    </row>
    <row r="104" spans="1:12" x14ac:dyDescent="0.2">
      <c r="A104" s="1">
        <v>42963.56108796296</v>
      </c>
      <c r="B104">
        <v>3009.5219999999999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1.8100080000000001</v>
      </c>
      <c r="I104">
        <v>-0.67300000000000004</v>
      </c>
      <c r="J104">
        <v>7.8639539999999997</v>
      </c>
      <c r="K104">
        <v>37.055929999999996</v>
      </c>
      <c r="L104">
        <v>357.69040000000001</v>
      </c>
    </row>
    <row r="105" spans="1:12" x14ac:dyDescent="0.2">
      <c r="A105" s="1">
        <v>42963.561180555553</v>
      </c>
      <c r="B105">
        <v>3017.587</v>
      </c>
      <c r="C105">
        <v>34</v>
      </c>
      <c r="D105" t="s">
        <v>35</v>
      </c>
      <c r="E105" t="s">
        <v>4</v>
      </c>
      <c r="F105" t="s">
        <v>6</v>
      </c>
      <c r="G105">
        <v>3.5612740000000001</v>
      </c>
      <c r="H105">
        <v>1.7637130000000001</v>
      </c>
      <c r="I105">
        <v>-0.96591340000000003</v>
      </c>
      <c r="J105">
        <v>19.088100000000001</v>
      </c>
      <c r="K105">
        <v>190.1808</v>
      </c>
      <c r="L105">
        <v>355.91910000000001</v>
      </c>
    </row>
    <row r="106" spans="1:12" x14ac:dyDescent="0.2">
      <c r="A106" s="1">
        <v>42963.561539351853</v>
      </c>
      <c r="B106">
        <v>3048.8380000000002</v>
      </c>
      <c r="C106">
        <v>34</v>
      </c>
      <c r="D106" t="s">
        <v>36</v>
      </c>
      <c r="E106" t="s">
        <v>4</v>
      </c>
      <c r="F106" t="s">
        <v>6</v>
      </c>
      <c r="G106">
        <v>-6.6488399999999999</v>
      </c>
      <c r="H106">
        <v>1.80301</v>
      </c>
      <c r="I106">
        <v>-0.32319710000000001</v>
      </c>
      <c r="J106">
        <v>17.542179999999998</v>
      </c>
      <c r="K106">
        <v>275.54840000000002</v>
      </c>
      <c r="L106">
        <v>355.39249999999998</v>
      </c>
    </row>
    <row r="107" spans="1:12" x14ac:dyDescent="0.2">
      <c r="A107" s="1">
        <v>42963.561562499999</v>
      </c>
      <c r="B107">
        <v>3051.0970000000002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1.8071550000000001</v>
      </c>
      <c r="I107">
        <v>2.7240000000000002</v>
      </c>
      <c r="J107">
        <v>15.688599999999999</v>
      </c>
      <c r="K107">
        <v>275.53359999999998</v>
      </c>
      <c r="L107">
        <v>356.09750000000003</v>
      </c>
    </row>
    <row r="108" spans="1:12" x14ac:dyDescent="0.2">
      <c r="A108" s="1">
        <v>42963.561620370368</v>
      </c>
      <c r="B108">
        <v>3055.614</v>
      </c>
      <c r="C108">
        <v>35</v>
      </c>
      <c r="D108" t="s">
        <v>35</v>
      </c>
      <c r="E108" t="s">
        <v>5</v>
      </c>
      <c r="F108" t="s">
        <v>2</v>
      </c>
      <c r="G108">
        <v>0.26794699999999999</v>
      </c>
      <c r="H108">
        <v>1.7933110000000001</v>
      </c>
      <c r="I108">
        <v>2.661076</v>
      </c>
      <c r="J108">
        <v>15.82335</v>
      </c>
      <c r="K108">
        <v>180.89670000000001</v>
      </c>
      <c r="L108">
        <v>354.43009999999998</v>
      </c>
    </row>
    <row r="109" spans="1:12" x14ac:dyDescent="0.2">
      <c r="A109" s="1">
        <v>42963.561840277776</v>
      </c>
      <c r="B109">
        <v>3074.9879999999998</v>
      </c>
      <c r="C109">
        <v>35</v>
      </c>
      <c r="D109" t="s">
        <v>36</v>
      </c>
      <c r="E109" t="s">
        <v>5</v>
      </c>
      <c r="F109" t="s">
        <v>2</v>
      </c>
      <c r="G109">
        <v>-1.235474</v>
      </c>
      <c r="H109">
        <v>1.8047120000000001</v>
      </c>
      <c r="I109">
        <v>-4.1268479999999998</v>
      </c>
      <c r="J109">
        <v>15.518039999999999</v>
      </c>
      <c r="K109">
        <v>246.8109</v>
      </c>
      <c r="L109">
        <v>354.77499999999998</v>
      </c>
    </row>
    <row r="110" spans="1:12" x14ac:dyDescent="0.2">
      <c r="A110" s="1">
        <v>42963.561874999999</v>
      </c>
      <c r="B110">
        <v>3077.5140000000001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1.804384</v>
      </c>
      <c r="I110">
        <v>1.8169999999999999</v>
      </c>
      <c r="J110">
        <v>14.05744</v>
      </c>
      <c r="K110">
        <v>243.01349999999999</v>
      </c>
      <c r="L110">
        <v>355.40699999999998</v>
      </c>
    </row>
    <row r="111" spans="1:12" x14ac:dyDescent="0.2">
      <c r="A111" s="1">
        <v>42963.561944444446</v>
      </c>
      <c r="B111">
        <v>3083.4369999999999</v>
      </c>
      <c r="C111">
        <v>36</v>
      </c>
      <c r="D111" t="s">
        <v>35</v>
      </c>
      <c r="E111" t="s">
        <v>3</v>
      </c>
      <c r="F111" t="s">
        <v>4</v>
      </c>
      <c r="G111">
        <v>3.651494</v>
      </c>
      <c r="H111">
        <v>1.7678400000000001</v>
      </c>
      <c r="I111">
        <v>1.823787</v>
      </c>
      <c r="J111">
        <v>20.002610000000001</v>
      </c>
      <c r="K111">
        <v>28.07422</v>
      </c>
      <c r="L111">
        <v>355.04860000000002</v>
      </c>
    </row>
    <row r="112" spans="1:12" x14ac:dyDescent="0.2">
      <c r="A112" s="1">
        <v>42963.562094907407</v>
      </c>
      <c r="B112">
        <v>3096.2020000000002</v>
      </c>
      <c r="C112">
        <v>36</v>
      </c>
      <c r="D112" t="s">
        <v>36</v>
      </c>
      <c r="E112" t="s">
        <v>3</v>
      </c>
      <c r="F112" t="s">
        <v>4</v>
      </c>
      <c r="G112">
        <v>6.4025639999999999</v>
      </c>
      <c r="H112">
        <v>1.7999320000000001</v>
      </c>
      <c r="I112">
        <v>0.49889410000000001</v>
      </c>
      <c r="J112">
        <v>17.71874</v>
      </c>
      <c r="K112">
        <v>305.17250000000001</v>
      </c>
      <c r="L112">
        <v>354.92129999999997</v>
      </c>
    </row>
    <row r="113" spans="1:12" x14ac:dyDescent="0.2">
      <c r="A113" s="1">
        <v>42963.562118055554</v>
      </c>
      <c r="B113">
        <v>3098.9630000000002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1.7986500000000001</v>
      </c>
      <c r="I113">
        <v>0.09</v>
      </c>
      <c r="J113">
        <v>15.28702</v>
      </c>
      <c r="K113">
        <v>299.12970000000001</v>
      </c>
      <c r="L113">
        <v>354.63709999999998</v>
      </c>
    </row>
    <row r="114" spans="1:12" x14ac:dyDescent="0.2">
      <c r="A114" s="1">
        <v>42963.562268518515</v>
      </c>
      <c r="B114">
        <v>3111.4430000000002</v>
      </c>
      <c r="C114">
        <v>37</v>
      </c>
      <c r="D114" t="s">
        <v>35</v>
      </c>
      <c r="E114" t="s">
        <v>6</v>
      </c>
      <c r="F114" t="s">
        <v>33</v>
      </c>
      <c r="G114">
        <v>-4.2713989999999997</v>
      </c>
      <c r="H114">
        <v>1.794497</v>
      </c>
      <c r="I114">
        <v>5.2988500000000001E-2</v>
      </c>
      <c r="J114">
        <v>12.79072</v>
      </c>
      <c r="K114">
        <v>281.1284</v>
      </c>
      <c r="L114">
        <v>355.15199999999999</v>
      </c>
    </row>
    <row r="115" spans="1:12" x14ac:dyDescent="0.2">
      <c r="A115" s="1">
        <v>42963.562372685185</v>
      </c>
      <c r="B115">
        <v>3120.4609999999998</v>
      </c>
      <c r="C115">
        <v>37</v>
      </c>
      <c r="D115" t="s">
        <v>36</v>
      </c>
      <c r="E115" t="s">
        <v>6</v>
      </c>
      <c r="F115" t="s">
        <v>33</v>
      </c>
      <c r="G115">
        <v>-3.6735739999999999</v>
      </c>
      <c r="H115">
        <v>1.8233760000000001</v>
      </c>
      <c r="I115">
        <v>-1.909762</v>
      </c>
      <c r="J115">
        <v>9.2136669999999992</v>
      </c>
      <c r="K115">
        <v>156.77680000000001</v>
      </c>
      <c r="L115">
        <v>356.97800000000001</v>
      </c>
    </row>
    <row r="116" spans="1:12" x14ac:dyDescent="0.2">
      <c r="A116" s="1">
        <v>42963.562430555554</v>
      </c>
      <c r="B116">
        <v>3126.0659999999998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1.811299</v>
      </c>
      <c r="I116">
        <v>-4.3440000000000003</v>
      </c>
      <c r="J116">
        <v>7.3314899999999996</v>
      </c>
      <c r="K116">
        <v>152.67009999999999</v>
      </c>
      <c r="L116">
        <v>358.01859999999999</v>
      </c>
    </row>
    <row r="117" spans="1:12" x14ac:dyDescent="0.2">
      <c r="A117" s="1">
        <v>42963.5625</v>
      </c>
      <c r="B117">
        <v>3131.587</v>
      </c>
      <c r="C117">
        <v>38</v>
      </c>
      <c r="D117" t="s">
        <v>35</v>
      </c>
      <c r="E117" t="s">
        <v>2</v>
      </c>
      <c r="F117" t="s">
        <v>0</v>
      </c>
      <c r="G117">
        <v>3.6913670000000001</v>
      </c>
      <c r="H117">
        <v>1.797979</v>
      </c>
      <c r="I117">
        <v>-4.4023450000000004</v>
      </c>
      <c r="J117">
        <v>13.842280000000001</v>
      </c>
      <c r="K117">
        <v>12.66432</v>
      </c>
      <c r="L117">
        <v>356.31849999999997</v>
      </c>
    </row>
    <row r="118" spans="1:12" x14ac:dyDescent="0.2">
      <c r="A118" s="1">
        <v>42963.562627314815</v>
      </c>
      <c r="B118">
        <v>3142.8470000000002</v>
      </c>
      <c r="C118">
        <v>38</v>
      </c>
      <c r="D118" t="s">
        <v>36</v>
      </c>
      <c r="E118" t="s">
        <v>2</v>
      </c>
      <c r="F118" t="s">
        <v>0</v>
      </c>
      <c r="G118">
        <v>0.23862910000000001</v>
      </c>
      <c r="H118">
        <v>1.8095250000000001</v>
      </c>
      <c r="I118">
        <v>-5.1979519999999999</v>
      </c>
      <c r="J118">
        <v>9.4482490000000006</v>
      </c>
      <c r="K118">
        <v>73.302539999999993</v>
      </c>
      <c r="L118">
        <v>356.76519999999999</v>
      </c>
    </row>
    <row r="119" spans="1:12" x14ac:dyDescent="0.2">
      <c r="A119" s="1">
        <v>42963.562638888892</v>
      </c>
      <c r="B119">
        <v>3143.9690000000001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1.8112710000000001</v>
      </c>
      <c r="I119">
        <v>4.1399999999999997</v>
      </c>
      <c r="J119">
        <v>8.5043860000000002</v>
      </c>
      <c r="K119">
        <v>73.825490000000002</v>
      </c>
      <c r="L119">
        <v>356.24430000000001</v>
      </c>
    </row>
    <row r="120" spans="1:12" x14ac:dyDescent="0.2">
      <c r="A120" s="1">
        <v>42963.5628125</v>
      </c>
      <c r="B120">
        <v>3158.2</v>
      </c>
      <c r="C120">
        <v>39</v>
      </c>
      <c r="D120" t="s">
        <v>35</v>
      </c>
      <c r="E120" t="s">
        <v>1</v>
      </c>
      <c r="F120" t="s">
        <v>5</v>
      </c>
      <c r="G120">
        <v>-4.2698640000000001</v>
      </c>
      <c r="H120">
        <v>1.8053349999999999</v>
      </c>
      <c r="I120">
        <v>4.2839790000000004</v>
      </c>
      <c r="J120">
        <v>9.6644590000000008</v>
      </c>
      <c r="K120">
        <v>260.22570000000002</v>
      </c>
      <c r="L120">
        <v>356.39319999999998</v>
      </c>
    </row>
    <row r="121" spans="1:12" x14ac:dyDescent="0.2">
      <c r="A121" s="1">
        <v>42963.563090277778</v>
      </c>
      <c r="B121">
        <v>3182.7449999999999</v>
      </c>
      <c r="C121">
        <v>39</v>
      </c>
      <c r="D121" t="s">
        <v>36</v>
      </c>
      <c r="E121" t="s">
        <v>1</v>
      </c>
      <c r="F121" t="s">
        <v>5</v>
      </c>
      <c r="G121">
        <v>0.63115690000000002</v>
      </c>
      <c r="H121">
        <v>1.812799</v>
      </c>
      <c r="I121">
        <v>1.2444299999999999</v>
      </c>
      <c r="J121">
        <v>5.9406400000000001</v>
      </c>
      <c r="K121">
        <v>289.61099999999999</v>
      </c>
      <c r="L121">
        <v>357.50729999999999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(40)'!$C$2:$L$239,3,0)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(40)'!$C$2:$L$239,5,1)</f>
        <v>5.5481579999999999</v>
      </c>
      <c r="G2" s="3">
        <f>VLOOKUP($A2,'Summary Data (40)'!$C$2:$L$239,6,1)</f>
        <v>1.8092839999999999</v>
      </c>
      <c r="H2" s="3">
        <f>VLOOKUP($A2,'Summary Data (40)'!$C$2:$L$239,7,1)</f>
        <v>-1.030424</v>
      </c>
      <c r="I2" s="3" t="str">
        <f>VLOOKUP($A2,'Summary Data (40)'!$C$2:$L$239,4,0)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7.1037579629897296</v>
      </c>
      <c r="N2" s="3">
        <f t="shared" ref="N2:N41" si="1">ABS(SQRT((F2-C2)^2+(H2-E2)^2))</f>
        <v>3.8870878617211626</v>
      </c>
      <c r="O2" s="3">
        <f t="shared" ref="O2:O41" si="2">ABS(SQRT((J2-C2)^2+(L2-E2)^2))</f>
        <v>4.3718971854333439</v>
      </c>
      <c r="P2" s="3">
        <f t="shared" ref="P2:P41" si="3">(N2-O2)</f>
        <v>-0.48480932371218133</v>
      </c>
      <c r="Q2" s="5">
        <f t="shared" ref="Q2:Q41" si="4">P2/O2</f>
        <v>-0.11089220609476132</v>
      </c>
      <c r="R2" s="3">
        <f t="shared" ref="R2:R41" si="5">ATAN2(J2-C2,L2-E2)*180/PI()</f>
        <v>177.02371934116897</v>
      </c>
      <c r="S2" s="3">
        <f t="shared" ref="S2:S41" si="6">ATAN2(F2-C2,H2-E2)*180/PI()</f>
        <v>58.479941372515398</v>
      </c>
      <c r="T2" s="3">
        <f t="shared" ref="T2:T41" si="7">IF(ABS(R2-S2)&gt;180,360-ABS(R2-S2),ABS(R2-S2))</f>
        <v>118.54377796865357</v>
      </c>
      <c r="U2" s="3">
        <f>VLOOKUP($A2,'Summary Data (40)'!$C$2:$N$239,11,0)</f>
        <v>0</v>
      </c>
      <c r="V2" s="3">
        <f>VLOOKUP($A2,'Summary Data (40)'!$C$2:$N$239,12,1)</f>
        <v>0</v>
      </c>
      <c r="W2" s="3">
        <f>VLOOKUP($A2,'Summary Data (40)'!$C$2:$N$239,11,1)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(40)'!$C$2:$L$239,3,0)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(40)'!$C$2:$L$239,5,1)</f>
        <v>-0.23185710000000001</v>
      </c>
      <c r="G3" s="3">
        <f>VLOOKUP($A3,'Summary Data (40)'!$C$2:$L$239,6,1)</f>
        <v>1.81352</v>
      </c>
      <c r="H3" s="3">
        <f>VLOOKUP($A3,'Summary Data (40)'!$C$2:$L$239,7,1)</f>
        <v>-5.4138799999999998</v>
      </c>
      <c r="I3" s="3" t="str">
        <f>VLOOKUP($A3,'Summary Data (40)'!$C$2:$L$239,4,0)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3.8975730982780052</v>
      </c>
      <c r="N3" s="3">
        <f t="shared" si="1"/>
        <v>8.1416536426220194</v>
      </c>
      <c r="O3" s="3">
        <f t="shared" si="2"/>
        <v>7.8871175977032326</v>
      </c>
      <c r="P3" s="3">
        <f t="shared" si="3"/>
        <v>0.25453604491878679</v>
      </c>
      <c r="Q3" s="5">
        <f t="shared" si="4"/>
        <v>3.2272378567413391E-2</v>
      </c>
      <c r="R3" s="3">
        <f t="shared" si="5"/>
        <v>-63.65586590726528</v>
      </c>
      <c r="S3" s="3">
        <f t="shared" si="6"/>
        <v>-91.744530147649371</v>
      </c>
      <c r="T3" s="3">
        <f t="shared" si="7"/>
        <v>28.088664240384091</v>
      </c>
      <c r="U3" s="3">
        <f>VLOOKUP($A3,'Summary Data (40)'!$C$2:$N$239,11,0)</f>
        <v>0</v>
      </c>
      <c r="V3" s="3">
        <f>VLOOKUP($A3,'Summary Data (40)'!$C$2:$N$239,12,1)</f>
        <v>0</v>
      </c>
      <c r="W3" s="3">
        <f>VLOOKUP($A3,'Summary Data (40)'!$C$2:$N$239,11,1)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(40)'!$C$2:$L$239,3,0)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(40)'!$C$2:$L$239,5,1)</f>
        <v>5.9440059999999999</v>
      </c>
      <c r="G4" s="3">
        <f>VLOOKUP($A4,'Summary Data (40)'!$C$2:$L$239,6,1)</f>
        <v>1.8132630000000001</v>
      </c>
      <c r="H4" s="3">
        <f>VLOOKUP($A4,'Summary Data (40)'!$C$2:$L$239,7,1)</f>
        <v>0.83855849999999998</v>
      </c>
      <c r="I4" s="3" t="str">
        <f>VLOOKUP($A4,'Summary Data (40)'!$C$2:$L$239,4,0)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2.7508943311145648</v>
      </c>
      <c r="N4" s="3">
        <f t="shared" si="1"/>
        <v>10.175646758803996</v>
      </c>
      <c r="O4" s="3">
        <f t="shared" si="2"/>
        <v>8.0292617967033557</v>
      </c>
      <c r="P4" s="3">
        <f t="shared" si="3"/>
        <v>2.1463849621006403</v>
      </c>
      <c r="Q4" s="5">
        <f t="shared" si="4"/>
        <v>0.26732033609638939</v>
      </c>
      <c r="R4" s="3">
        <f t="shared" si="5"/>
        <v>23.666151625811782</v>
      </c>
      <c r="S4" s="3">
        <f t="shared" si="6"/>
        <v>12.743184229597665</v>
      </c>
      <c r="T4" s="3">
        <f t="shared" si="7"/>
        <v>10.922967396214117</v>
      </c>
      <c r="U4" s="3">
        <f>VLOOKUP($A4,'Summary Data (40)'!$C$2:$N$239,11,0)</f>
        <v>0</v>
      </c>
      <c r="V4" s="3">
        <f>VLOOKUP($A4,'Summary Data (40)'!$C$2:$N$239,12,1)</f>
        <v>0</v>
      </c>
      <c r="W4" s="3">
        <f>VLOOKUP($A4,'Summary Data (40)'!$C$2:$N$239,11,1)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(40)'!$C$2:$L$239,3,0)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(40)'!$C$2:$L$239,5,1)</f>
        <v>-9.8517419999999994E-2</v>
      </c>
      <c r="G5" s="3">
        <f>VLOOKUP($A5,'Summary Data (40)'!$C$2:$L$239,6,1)</f>
        <v>1.8095460000000001</v>
      </c>
      <c r="H5" s="3">
        <f>VLOOKUP($A5,'Summary Data (40)'!$C$2:$L$239,7,1)</f>
        <v>3.7979530000000001</v>
      </c>
      <c r="I5" s="3" t="str">
        <f>VLOOKUP($A5,'Summary Data (40)'!$C$2:$L$239,4,0)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3.9951517768280662</v>
      </c>
      <c r="N5" s="3">
        <f t="shared" si="1"/>
        <v>7.9505475949932194</v>
      </c>
      <c r="O5" s="3">
        <f t="shared" si="2"/>
        <v>8.8659173242253964</v>
      </c>
      <c r="P5" s="3">
        <f t="shared" si="3"/>
        <v>-0.91536972923217697</v>
      </c>
      <c r="Q5" s="5">
        <f t="shared" si="4"/>
        <v>-0.10324591305752466</v>
      </c>
      <c r="R5" s="3">
        <f t="shared" si="5"/>
        <v>111.35858600069317</v>
      </c>
      <c r="S5" s="3">
        <f t="shared" si="6"/>
        <v>84.576329486492966</v>
      </c>
      <c r="T5" s="3">
        <f t="shared" si="7"/>
        <v>26.782256514200199</v>
      </c>
      <c r="U5" s="3">
        <f>VLOOKUP($A5,'Summary Data (40)'!$C$2:$N$239,11,0)</f>
        <v>0</v>
      </c>
      <c r="V5" s="3">
        <f>VLOOKUP($A5,'Summary Data (40)'!$C$2:$N$239,12,1)</f>
        <v>0</v>
      </c>
      <c r="W5" s="3">
        <f>VLOOKUP($A5,'Summary Data (40)'!$C$2:$N$239,11,1)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(40)'!$C$2:$L$239,3,0)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(40)'!$C$2:$L$239,5,1)</f>
        <v>-4.9093289999999996</v>
      </c>
      <c r="G6" s="3">
        <f>VLOOKUP($A6,'Summary Data (40)'!$C$2:$L$239,6,1)</f>
        <v>1.806098</v>
      </c>
      <c r="H6" s="3">
        <f>VLOOKUP($A6,'Summary Data (40)'!$C$2:$L$239,7,1)</f>
        <v>-2.0506289999999998</v>
      </c>
      <c r="I6" s="3" t="str">
        <f>VLOOKUP($A6,'Summary Data (40)'!$C$2:$L$239,4,0)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8.9341814922175153</v>
      </c>
      <c r="N6" s="3">
        <f t="shared" si="1"/>
        <v>9.1408712793629245</v>
      </c>
      <c r="O6" s="3">
        <f t="shared" si="2"/>
        <v>2.5489458605470614</v>
      </c>
      <c r="P6" s="3">
        <f t="shared" si="3"/>
        <v>6.5919254188158636</v>
      </c>
      <c r="Q6" s="5">
        <f t="shared" si="4"/>
        <v>2.5861378701080326</v>
      </c>
      <c r="R6" s="3">
        <f t="shared" si="5"/>
        <v>-77.654050540796021</v>
      </c>
      <c r="S6" s="3">
        <f t="shared" si="6"/>
        <v>-154.96866711527497</v>
      </c>
      <c r="T6" s="3">
        <f t="shared" si="7"/>
        <v>77.314616574478947</v>
      </c>
      <c r="U6" s="3">
        <f>VLOOKUP($A6,'Summary Data (40)'!$C$2:$N$239,11,0)</f>
        <v>0</v>
      </c>
      <c r="V6" s="3">
        <f>VLOOKUP($A6,'Summary Data (40)'!$C$2:$N$239,12,1)</f>
        <v>0</v>
      </c>
      <c r="W6" s="3">
        <f>VLOOKUP($A6,'Summary Data (40)'!$C$2:$N$239,11,1)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(40)'!$C$2:$L$239,3,0)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(40)'!$C$2:$L$239,5,1)</f>
        <v>3.3913540000000002</v>
      </c>
      <c r="G7" s="3">
        <f>VLOOKUP($A7,'Summary Data (40)'!$C$2:$L$239,6,1)</f>
        <v>1.814953</v>
      </c>
      <c r="H7" s="3">
        <f>VLOOKUP($A7,'Summary Data (40)'!$C$2:$L$239,7,1)</f>
        <v>5.4309539999999998</v>
      </c>
      <c r="I7" s="3" t="str">
        <f>VLOOKUP($A7,'Summary Data (40)'!$C$2:$L$239,4,0)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10.447607828562097</v>
      </c>
      <c r="N7" s="3">
        <f t="shared" si="1"/>
        <v>9.775748683729141</v>
      </c>
      <c r="O7" s="3">
        <f t="shared" si="2"/>
        <v>4.3718971854333439</v>
      </c>
      <c r="P7" s="3">
        <f t="shared" si="3"/>
        <v>5.403851498295797</v>
      </c>
      <c r="Q7" s="5">
        <f t="shared" si="4"/>
        <v>1.2360426764611039</v>
      </c>
      <c r="R7" s="3">
        <f t="shared" si="5"/>
        <v>177.02371934116897</v>
      </c>
      <c r="S7" s="3">
        <f t="shared" si="6"/>
        <v>90.730571487639423</v>
      </c>
      <c r="T7" s="3">
        <f t="shared" si="7"/>
        <v>86.293147853529547</v>
      </c>
      <c r="U7" s="3">
        <f>VLOOKUP($A7,'Summary Data (40)'!$C$2:$N$239,11,0)</f>
        <v>0</v>
      </c>
      <c r="V7" s="3">
        <f>VLOOKUP($A7,'Summary Data (40)'!$C$2:$N$239,12,1)</f>
        <v>0</v>
      </c>
      <c r="W7" s="3">
        <f>VLOOKUP($A7,'Summary Data (40)'!$C$2:$N$239,11,1)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(40)'!$C$2:$L$239,3,0)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(40)'!$C$2:$L$239,5,1)</f>
        <v>4.0274150000000004</v>
      </c>
      <c r="G8" s="3">
        <f>VLOOKUP($A8,'Summary Data (40)'!$C$2:$L$239,6,1)</f>
        <v>1.8252349999999999</v>
      </c>
      <c r="H8" s="3">
        <f>VLOOKUP($A8,'Summary Data (40)'!$C$2:$L$239,7,1)</f>
        <v>2.6576900000000001</v>
      </c>
      <c r="I8" s="3" t="str">
        <f>VLOOKUP($A8,'Summary Data (40)'!$C$2:$L$239,4,0)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8.9804391445143139</v>
      </c>
      <c r="N8" s="3">
        <f t="shared" si="1"/>
        <v>8.5329101025573344</v>
      </c>
      <c r="O8" s="3">
        <f t="shared" si="2"/>
        <v>1.5015515309172709</v>
      </c>
      <c r="P8" s="3">
        <f t="shared" si="3"/>
        <v>7.0313585716400633</v>
      </c>
      <c r="Q8" s="5">
        <f t="shared" si="4"/>
        <v>4.682728782104955</v>
      </c>
      <c r="R8" s="3">
        <f t="shared" si="5"/>
        <v>-85.071579131103505</v>
      </c>
      <c r="S8" s="3">
        <f t="shared" si="6"/>
        <v>17.512634304441523</v>
      </c>
      <c r="T8" s="3">
        <f t="shared" si="7"/>
        <v>102.58421343554502</v>
      </c>
      <c r="U8" s="3">
        <f>VLOOKUP($A8,'Summary Data (40)'!$C$2:$N$239,11,0)</f>
        <v>0</v>
      </c>
      <c r="V8" s="3">
        <f>VLOOKUP($A8,'Summary Data (40)'!$C$2:$N$239,12,1)</f>
        <v>0</v>
      </c>
      <c r="W8" s="3">
        <f>VLOOKUP($A8,'Summary Data (40)'!$C$2:$N$239,11,1)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(40)'!$C$2:$L$239,3,0)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(40)'!$C$2:$L$239,5,1)</f>
        <v>-0.33520509999999998</v>
      </c>
      <c r="G9" s="3">
        <f>VLOOKUP($A9,'Summary Data (40)'!$C$2:$L$239,6,1)</f>
        <v>1.8039510000000001</v>
      </c>
      <c r="H9" s="3">
        <f>VLOOKUP($A9,'Summary Data (40)'!$C$2:$L$239,7,1)</f>
        <v>1.13062</v>
      </c>
      <c r="I9" s="3" t="str">
        <f>VLOOKUP($A9,'Summary Data (40)'!$C$2:$L$239,4,0)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4.8033705080564006</v>
      </c>
      <c r="N9" s="3">
        <f t="shared" si="1"/>
        <v>5.2728103942267834</v>
      </c>
      <c r="O9" s="3">
        <f t="shared" si="2"/>
        <v>8.8659173242253964</v>
      </c>
      <c r="P9" s="3">
        <f t="shared" si="3"/>
        <v>-3.5931069299986129</v>
      </c>
      <c r="Q9" s="5">
        <f t="shared" si="4"/>
        <v>-0.40527187414445442</v>
      </c>
      <c r="R9" s="3">
        <f t="shared" si="5"/>
        <v>111.35858600069317</v>
      </c>
      <c r="S9" s="3">
        <f t="shared" si="6"/>
        <v>84.397174624101481</v>
      </c>
      <c r="T9" s="3">
        <f t="shared" si="7"/>
        <v>26.961411376591684</v>
      </c>
      <c r="U9" s="3">
        <f>VLOOKUP($A9,'Summary Data (40)'!$C$2:$N$239,11,0)</f>
        <v>0</v>
      </c>
      <c r="V9" s="3">
        <f>VLOOKUP($A9,'Summary Data (40)'!$C$2:$N$239,12,1)</f>
        <v>0</v>
      </c>
      <c r="W9" s="3">
        <f>VLOOKUP($A9,'Summary Data (40)'!$C$2:$N$239,11,1)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(40)'!$C$2:$L$239,3,0)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(40)'!$C$2:$L$239,5,1)</f>
        <v>-0.32675700000000002</v>
      </c>
      <c r="G10" s="3">
        <f>VLOOKUP($A10,'Summary Data (40)'!$C$2:$L$239,6,1)</f>
        <v>1.8126899999999999</v>
      </c>
      <c r="H10" s="3">
        <f>VLOOKUP($A10,'Summary Data (40)'!$C$2:$L$239,7,1)</f>
        <v>-6.2375210000000001</v>
      </c>
      <c r="I10" s="3" t="str">
        <f>VLOOKUP($A10,'Summary Data (40)'!$C$2:$L$239,4,0)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4.2839471446891126</v>
      </c>
      <c r="N10" s="3">
        <f t="shared" si="1"/>
        <v>8.9680734271352858</v>
      </c>
      <c r="O10" s="3">
        <f t="shared" si="2"/>
        <v>7.8871175977032326</v>
      </c>
      <c r="P10" s="3">
        <f t="shared" si="3"/>
        <v>1.0809558294320532</v>
      </c>
      <c r="Q10" s="5">
        <f t="shared" si="4"/>
        <v>0.13705334249698936</v>
      </c>
      <c r="R10" s="3">
        <f t="shared" si="5"/>
        <v>-63.65586590726528</v>
      </c>
      <c r="S10" s="3">
        <f t="shared" si="6"/>
        <v>-92.190360499434476</v>
      </c>
      <c r="T10" s="3">
        <f t="shared" si="7"/>
        <v>28.534494592169196</v>
      </c>
      <c r="U10" s="3">
        <f>VLOOKUP($A10,'Summary Data (40)'!$C$2:$N$239,11,0)</f>
        <v>0</v>
      </c>
      <c r="V10" s="3">
        <f>VLOOKUP($A10,'Summary Data (40)'!$C$2:$N$239,12,1)</f>
        <v>0</v>
      </c>
      <c r="W10" s="3">
        <f>VLOOKUP($A10,'Summary Data (40)'!$C$2:$N$239,11,1)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(40)'!$C$2:$L$239,3,0)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(40)'!$C$2:$L$239,5,1)</f>
        <v>1.666677</v>
      </c>
      <c r="G11" s="3">
        <f>VLOOKUP($A11,'Summary Data (40)'!$C$2:$L$239,6,1)</f>
        <v>1.8212630000000001</v>
      </c>
      <c r="H11" s="3">
        <f>VLOOKUP($A11,'Summary Data (40)'!$C$2:$L$239,7,1)</f>
        <v>4.2944380000000004</v>
      </c>
      <c r="I11" s="3" t="str">
        <f>VLOOKUP($A11,'Summary Data (40)'!$C$2:$L$239,4,0)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8.0244157973134094</v>
      </c>
      <c r="N11" s="3">
        <f t="shared" si="1"/>
        <v>7.1447390475911021</v>
      </c>
      <c r="O11" s="3">
        <f t="shared" si="2"/>
        <v>1.5015515309172709</v>
      </c>
      <c r="P11" s="3">
        <f t="shared" si="3"/>
        <v>5.643187516673831</v>
      </c>
      <c r="Q11" s="5">
        <f t="shared" si="4"/>
        <v>3.758237663163321</v>
      </c>
      <c r="R11" s="3">
        <f t="shared" si="5"/>
        <v>-85.071579131103505</v>
      </c>
      <c r="S11" s="3">
        <f t="shared" si="6"/>
        <v>36.048246064585321</v>
      </c>
      <c r="T11" s="3">
        <f t="shared" si="7"/>
        <v>121.11982519568883</v>
      </c>
      <c r="U11" s="3">
        <f>VLOOKUP($A11,'Summary Data (40)'!$C$2:$N$239,11,0)</f>
        <v>0</v>
      </c>
      <c r="V11" s="3">
        <f>VLOOKUP($A11,'Summary Data (40)'!$C$2:$N$239,12,1)</f>
        <v>0</v>
      </c>
      <c r="W11" s="3">
        <f>VLOOKUP($A11,'Summary Data (40)'!$C$2:$N$239,11,1)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(40)'!$C$2:$L$239,3,0)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(40)'!$C$2:$L$239,5,1)</f>
        <v>-0.40930689999999997</v>
      </c>
      <c r="G12" s="3">
        <f>VLOOKUP($A12,'Summary Data (40)'!$C$2:$L$239,6,1)</f>
        <v>1.814095</v>
      </c>
      <c r="H12" s="3">
        <f>VLOOKUP($A12,'Summary Data (40)'!$C$2:$L$239,7,1)</f>
        <v>-4.1993039999999997</v>
      </c>
      <c r="I12" s="3" t="str">
        <f>VLOOKUP($A12,'Summary Data (40)'!$C$2:$L$239,4,0)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6.9363552558677108</v>
      </c>
      <c r="N12" s="3">
        <f t="shared" si="1"/>
        <v>9.1110174323509874</v>
      </c>
      <c r="O12" s="3">
        <f t="shared" si="2"/>
        <v>4.3329067610554466</v>
      </c>
      <c r="P12" s="3">
        <f t="shared" si="3"/>
        <v>4.7781106712955408</v>
      </c>
      <c r="Q12" s="5">
        <f t="shared" si="4"/>
        <v>1.102749478535201</v>
      </c>
      <c r="R12" s="3">
        <f t="shared" si="5"/>
        <v>-19.074748100261683</v>
      </c>
      <c r="S12" s="3">
        <f t="shared" si="6"/>
        <v>-66.248206876641092</v>
      </c>
      <c r="T12" s="3">
        <f t="shared" si="7"/>
        <v>47.173458776379405</v>
      </c>
      <c r="U12" s="3">
        <f>VLOOKUP($A12,'Summary Data (40)'!$C$2:$N$239,11,0)</f>
        <v>0</v>
      </c>
      <c r="V12" s="3">
        <f>VLOOKUP($A12,'Summary Data (40)'!$C$2:$N$239,12,1)</f>
        <v>0</v>
      </c>
      <c r="W12" s="3">
        <f>VLOOKUP($A12,'Summary Data (40)'!$C$2:$N$239,11,1)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(40)'!$C$2:$L$239,3,0)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(40)'!$C$2:$L$239,5,1)</f>
        <v>1.854832</v>
      </c>
      <c r="G13" s="3">
        <f>VLOOKUP($A13,'Summary Data (40)'!$C$2:$L$239,6,1)</f>
        <v>1.8064039999999999</v>
      </c>
      <c r="H13" s="3">
        <f>VLOOKUP($A13,'Summary Data (40)'!$C$2:$L$239,7,1)</f>
        <v>2.2360319999999998</v>
      </c>
      <c r="I13" s="3" t="str">
        <f>VLOOKUP($A13,'Summary Data (40)'!$C$2:$L$239,4,0)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6.9048629053188302</v>
      </c>
      <c r="N13" s="3">
        <f t="shared" si="1"/>
        <v>6.7864792230764257</v>
      </c>
      <c r="O13" s="3">
        <f t="shared" si="2"/>
        <v>4.3718971854333439</v>
      </c>
      <c r="P13" s="3">
        <f t="shared" si="3"/>
        <v>2.4145820376430818</v>
      </c>
      <c r="Q13" s="5">
        <f t="shared" si="4"/>
        <v>0.55229616233615697</v>
      </c>
      <c r="R13" s="3">
        <f t="shared" si="5"/>
        <v>177.02371934116897</v>
      </c>
      <c r="S13" s="3">
        <f t="shared" si="6"/>
        <v>104.16860304839413</v>
      </c>
      <c r="T13" s="3">
        <f t="shared" si="7"/>
        <v>72.855116292774838</v>
      </c>
      <c r="U13" s="3">
        <f>VLOOKUP($A13,'Summary Data (40)'!$C$2:$N$239,11,0)</f>
        <v>0</v>
      </c>
      <c r="V13" s="3">
        <f>VLOOKUP($A13,'Summary Data (40)'!$C$2:$N$239,12,1)</f>
        <v>0</v>
      </c>
      <c r="W13" s="3">
        <f>VLOOKUP($A13,'Summary Data (40)'!$C$2:$N$239,11,1)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(40)'!$C$2:$L$239,3,0)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(40)'!$C$2:$L$239,5,1)</f>
        <v>6.2279679999999997</v>
      </c>
      <c r="G14" s="3">
        <f>VLOOKUP($A14,'Summary Data (40)'!$C$2:$L$239,6,1)</f>
        <v>1.8186469999999999</v>
      </c>
      <c r="H14" s="3">
        <f>VLOOKUP($A14,'Summary Data (40)'!$C$2:$L$239,7,1)</f>
        <v>-0.32431919999999997</v>
      </c>
      <c r="I14" s="3" t="str">
        <f>VLOOKUP($A14,'Summary Data (40)'!$C$2:$L$239,4,0)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3.5687659207788673</v>
      </c>
      <c r="N14" s="3">
        <f t="shared" si="1"/>
        <v>10.266112262103537</v>
      </c>
      <c r="O14" s="3">
        <f t="shared" si="2"/>
        <v>8.0292617967033557</v>
      </c>
      <c r="P14" s="3">
        <f t="shared" si="3"/>
        <v>2.2368504654001811</v>
      </c>
      <c r="Q14" s="5">
        <f t="shared" si="4"/>
        <v>0.27858731251216451</v>
      </c>
      <c r="R14" s="3">
        <f t="shared" si="5"/>
        <v>23.666151625811782</v>
      </c>
      <c r="S14" s="3">
        <f t="shared" si="6"/>
        <v>6.0481506089513095</v>
      </c>
      <c r="T14" s="3">
        <f t="shared" si="7"/>
        <v>17.618001016860472</v>
      </c>
      <c r="U14" s="3">
        <f>VLOOKUP($A14,'Summary Data (40)'!$C$2:$N$239,11,0)</f>
        <v>0</v>
      </c>
      <c r="V14" s="3">
        <f>VLOOKUP($A14,'Summary Data (40)'!$C$2:$N$239,12,1)</f>
        <v>0</v>
      </c>
      <c r="W14" s="3">
        <f>VLOOKUP($A14,'Summary Data (40)'!$C$2:$N$239,11,1)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(40)'!$C$2:$L$239,3,0)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(40)'!$C$2:$L$239,5,1)</f>
        <v>-0.701654</v>
      </c>
      <c r="G15" s="3">
        <f>VLOOKUP($A15,'Summary Data (40)'!$C$2:$L$239,6,1)</f>
        <v>1.813223</v>
      </c>
      <c r="H15" s="3">
        <f>VLOOKUP($A15,'Summary Data (40)'!$C$2:$L$239,7,1)</f>
        <v>6.6361610000000004</v>
      </c>
      <c r="I15" s="3" t="str">
        <f>VLOOKUP($A15,'Summary Data (40)'!$C$2:$L$239,4,0)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8.6850713144819363</v>
      </c>
      <c r="N15" s="3">
        <f t="shared" si="1"/>
        <v>7.3803147828285081</v>
      </c>
      <c r="O15" s="3">
        <f t="shared" si="2"/>
        <v>1.5015515309172709</v>
      </c>
      <c r="P15" s="3">
        <f t="shared" si="3"/>
        <v>5.8787632519112369</v>
      </c>
      <c r="Q15" s="5">
        <f t="shared" si="4"/>
        <v>3.9151258753803848</v>
      </c>
      <c r="R15" s="3">
        <f t="shared" si="5"/>
        <v>-85.071579131103505</v>
      </c>
      <c r="S15" s="3">
        <f t="shared" si="6"/>
        <v>62.495659824423058</v>
      </c>
      <c r="T15" s="3">
        <f t="shared" si="7"/>
        <v>147.56723895552656</v>
      </c>
      <c r="U15" s="3">
        <f>VLOOKUP($A15,'Summary Data (40)'!$C$2:$N$239,11,0)</f>
        <v>0</v>
      </c>
      <c r="V15" s="3">
        <f>VLOOKUP($A15,'Summary Data (40)'!$C$2:$N$239,12,1)</f>
        <v>0</v>
      </c>
      <c r="W15" s="3">
        <f>VLOOKUP($A15,'Summary Data (40)'!$C$2:$N$239,11,1)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(40)'!$C$2:$L$239,3,0)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(40)'!$C$2:$L$239,5,1)</f>
        <v>1.8123480000000001</v>
      </c>
      <c r="G16" s="3">
        <f>VLOOKUP($A16,'Summary Data (40)'!$C$2:$L$239,6,1)</f>
        <v>1.819509</v>
      </c>
      <c r="H16" s="3">
        <f>VLOOKUP($A16,'Summary Data (40)'!$C$2:$L$239,7,1)</f>
        <v>-6.4648370000000002</v>
      </c>
      <c r="I16" s="3" t="str">
        <f>VLOOKUP($A16,'Summary Data (40)'!$C$2:$L$239,4,0)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9.3627769144454671</v>
      </c>
      <c r="N16" s="3">
        <f t="shared" si="1"/>
        <v>12.131386938585091</v>
      </c>
      <c r="O16" s="3">
        <f t="shared" si="2"/>
        <v>4.3329067610554466</v>
      </c>
      <c r="P16" s="3">
        <f t="shared" si="3"/>
        <v>7.7984801775296448</v>
      </c>
      <c r="Q16" s="5">
        <f t="shared" si="4"/>
        <v>1.7998264462146016</v>
      </c>
      <c r="R16" s="3">
        <f t="shared" si="5"/>
        <v>-19.074748100261683</v>
      </c>
      <c r="S16" s="3">
        <f t="shared" si="6"/>
        <v>-60.946337678170444</v>
      </c>
      <c r="T16" s="3">
        <f t="shared" si="7"/>
        <v>41.871589577908765</v>
      </c>
      <c r="U16" s="3">
        <f>VLOOKUP($A16,'Summary Data (40)'!$C$2:$N$239,11,0)</f>
        <v>0</v>
      </c>
      <c r="V16" s="3">
        <f>VLOOKUP($A16,'Summary Data (40)'!$C$2:$N$239,12,1)</f>
        <v>0</v>
      </c>
      <c r="W16" s="3">
        <f>VLOOKUP($A16,'Summary Data (40)'!$C$2:$N$239,11,1)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(40)'!$C$2:$L$239,3,0)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(40)'!$C$2:$L$239,5,1)</f>
        <v>2.164005</v>
      </c>
      <c r="G17" s="3">
        <f>VLOOKUP($A17,'Summary Data (40)'!$C$2:$L$239,6,1)</f>
        <v>1.8182780000000001</v>
      </c>
      <c r="H17" s="3">
        <f>VLOOKUP($A17,'Summary Data (40)'!$C$2:$L$239,7,1)</f>
        <v>-7.116206</v>
      </c>
      <c r="I17" s="3" t="str">
        <f>VLOOKUP($A17,'Summary Data (40)'!$C$2:$L$239,4,0)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9.554713164426289</v>
      </c>
      <c r="N17" s="3">
        <f t="shared" si="1"/>
        <v>6.6776793887143908</v>
      </c>
      <c r="O17" s="3">
        <f t="shared" si="2"/>
        <v>8.0641771433916301</v>
      </c>
      <c r="P17" s="3">
        <f t="shared" si="3"/>
        <v>-1.3864977546772392</v>
      </c>
      <c r="Q17" s="5">
        <f t="shared" si="4"/>
        <v>-0.17193294864726971</v>
      </c>
      <c r="R17" s="3">
        <f t="shared" si="5"/>
        <v>174.57078263739461</v>
      </c>
      <c r="S17" s="3">
        <f t="shared" si="6"/>
        <v>-105.22827360205713</v>
      </c>
      <c r="T17" s="3">
        <f t="shared" si="7"/>
        <v>80.200943760548284</v>
      </c>
      <c r="U17" s="3">
        <f>VLOOKUP($A17,'Summary Data (40)'!$C$2:$N$239,11,0)</f>
        <v>0</v>
      </c>
      <c r="V17" s="3">
        <f>VLOOKUP($A17,'Summary Data (40)'!$C$2:$N$239,12,1)</f>
        <v>0</v>
      </c>
      <c r="W17" s="3">
        <f>VLOOKUP($A17,'Summary Data (40)'!$C$2:$N$239,11,1)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(40)'!$C$2:$L$239,3,0)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(40)'!$C$2:$L$239,5,1)</f>
        <v>-6.7402150000000001</v>
      </c>
      <c r="G18" s="3">
        <f>VLOOKUP($A18,'Summary Data (40)'!$C$2:$L$239,6,1)</f>
        <v>1.822424</v>
      </c>
      <c r="H18" s="3">
        <f>VLOOKUP($A18,'Summary Data (40)'!$C$2:$L$239,7,1)</f>
        <v>-3.5763750000000001</v>
      </c>
      <c r="I18" s="3" t="str">
        <f>VLOOKUP($A18,'Summary Data (40)'!$C$2:$L$239,4,0)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11.046589219159459</v>
      </c>
      <c r="N18" s="3">
        <f t="shared" si="1"/>
        <v>11.46148382744791</v>
      </c>
      <c r="O18" s="3">
        <f t="shared" si="2"/>
        <v>2.5489458605470614</v>
      </c>
      <c r="P18" s="3">
        <f t="shared" si="3"/>
        <v>8.9125379669008495</v>
      </c>
      <c r="Q18" s="5">
        <f t="shared" si="4"/>
        <v>3.4965583635377873</v>
      </c>
      <c r="R18" s="3">
        <f t="shared" si="5"/>
        <v>-77.654050540796021</v>
      </c>
      <c r="S18" s="3">
        <f t="shared" si="6"/>
        <v>-151.9290112891949</v>
      </c>
      <c r="T18" s="3">
        <f t="shared" si="7"/>
        <v>74.274960748398883</v>
      </c>
      <c r="U18" s="3">
        <f>VLOOKUP($A18,'Summary Data (40)'!$C$2:$N$239,11,0)</f>
        <v>0</v>
      </c>
      <c r="V18" s="3">
        <f>VLOOKUP($A18,'Summary Data (40)'!$C$2:$N$239,12,1)</f>
        <v>0</v>
      </c>
      <c r="W18" s="3">
        <f>VLOOKUP($A18,'Summary Data (40)'!$C$2:$N$239,11,1)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(40)'!$C$2:$L$239,3,0)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(40)'!$C$2:$L$239,5,1)</f>
        <v>6.5317990000000004</v>
      </c>
      <c r="G19" s="3">
        <f>VLOOKUP($A19,'Summary Data (40)'!$C$2:$L$239,6,1)</f>
        <v>1.8234859999999999</v>
      </c>
      <c r="H19" s="3">
        <f>VLOOKUP($A19,'Summary Data (40)'!$C$2:$L$239,7,1)</f>
        <v>0.77745969999999998</v>
      </c>
      <c r="I19" s="3" t="str">
        <f>VLOOKUP($A19,'Summary Data (40)'!$C$2:$L$239,4,0)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3.3254556315977348</v>
      </c>
      <c r="N19" s="3">
        <f t="shared" si="1"/>
        <v>10.737152279628203</v>
      </c>
      <c r="O19" s="3">
        <f t="shared" si="2"/>
        <v>8.0292617967033557</v>
      </c>
      <c r="P19" s="3">
        <f t="shared" si="3"/>
        <v>2.7078904829248476</v>
      </c>
      <c r="Q19" s="5">
        <f t="shared" si="4"/>
        <v>0.33725273275267348</v>
      </c>
      <c r="R19" s="3">
        <f t="shared" si="5"/>
        <v>23.666151625811782</v>
      </c>
      <c r="S19" s="3">
        <f t="shared" si="6"/>
        <v>11.733252472781324</v>
      </c>
      <c r="T19" s="3">
        <f t="shared" si="7"/>
        <v>11.932899153030458</v>
      </c>
      <c r="U19" s="3">
        <f>VLOOKUP($A19,'Summary Data (40)'!$C$2:$N$239,11,0)</f>
        <v>0</v>
      </c>
      <c r="V19" s="3">
        <f>VLOOKUP($A19,'Summary Data (40)'!$C$2:$N$239,12,1)</f>
        <v>0</v>
      </c>
      <c r="W19" s="3">
        <f>VLOOKUP($A19,'Summary Data (40)'!$C$2:$N$239,11,1)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(40)'!$C$2:$L$239,3,0)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(40)'!$C$2:$L$239,5,1)</f>
        <v>-2.0152220000000001</v>
      </c>
      <c r="G20" s="3">
        <f>VLOOKUP($A20,'Summary Data (40)'!$C$2:$L$239,6,1)</f>
        <v>1.823728</v>
      </c>
      <c r="H20" s="3">
        <f>VLOOKUP($A20,'Summary Data (40)'!$C$2:$L$239,7,1)</f>
        <v>-7.550389</v>
      </c>
      <c r="I20" s="3" t="str">
        <f>VLOOKUP($A20,'Summary Data (40)'!$C$2:$L$239,4,0)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6.3933830819531687</v>
      </c>
      <c r="N20" s="3">
        <f t="shared" si="1"/>
        <v>10.473248404225167</v>
      </c>
      <c r="O20" s="3">
        <f t="shared" si="2"/>
        <v>7.8871175977032326</v>
      </c>
      <c r="P20" s="3">
        <f t="shared" si="3"/>
        <v>2.5861308065219344</v>
      </c>
      <c r="Q20" s="5">
        <f t="shared" si="4"/>
        <v>0.32789301978647162</v>
      </c>
      <c r="R20" s="3">
        <f t="shared" si="5"/>
        <v>-63.65586590726528</v>
      </c>
      <c r="S20" s="3">
        <f t="shared" si="6"/>
        <v>-101.18303220191142</v>
      </c>
      <c r="T20" s="3">
        <f t="shared" si="7"/>
        <v>37.527166294646136</v>
      </c>
      <c r="U20" s="3">
        <f>VLOOKUP($A20,'Summary Data (40)'!$C$2:$N$239,11,0)</f>
        <v>0</v>
      </c>
      <c r="V20" s="3">
        <f>VLOOKUP($A20,'Summary Data (40)'!$C$2:$N$239,12,1)</f>
        <v>0</v>
      </c>
      <c r="W20" s="3">
        <f>VLOOKUP($A20,'Summary Data (40)'!$C$2:$N$239,11,1)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(40)'!$C$2:$L$239,3,0)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(40)'!$C$2:$L$239,5,1)</f>
        <v>-4.6134899999999996</v>
      </c>
      <c r="G21" s="3">
        <f>VLOOKUP($A21,'Summary Data (40)'!$C$2:$L$239,6,1)</f>
        <v>1.8089299999999999</v>
      </c>
      <c r="H21" s="3">
        <f>VLOOKUP($A21,'Summary Data (40)'!$C$2:$L$239,7,1)</f>
        <v>4.6545350000000001</v>
      </c>
      <c r="I21" s="3" t="str">
        <f>VLOOKUP($A21,'Summary Data (40)'!$C$2:$L$239,4,0)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10.058277725153795</v>
      </c>
      <c r="N21" s="3">
        <f t="shared" si="1"/>
        <v>8.4755900913343485</v>
      </c>
      <c r="O21" s="3">
        <f t="shared" si="2"/>
        <v>2.5489458605470614</v>
      </c>
      <c r="P21" s="3">
        <f t="shared" si="3"/>
        <v>5.9266442307872875</v>
      </c>
      <c r="Q21" s="5">
        <f t="shared" si="4"/>
        <v>2.3251353912692738</v>
      </c>
      <c r="R21" s="3">
        <f t="shared" si="5"/>
        <v>-77.654050540796021</v>
      </c>
      <c r="S21" s="3">
        <f t="shared" si="6"/>
        <v>160.44028754303645</v>
      </c>
      <c r="T21" s="3">
        <f t="shared" si="7"/>
        <v>121.90566191616753</v>
      </c>
      <c r="U21" s="3">
        <f>VLOOKUP($A21,'Summary Data (40)'!$C$2:$N$239,11,0)</f>
        <v>0</v>
      </c>
      <c r="V21" s="3">
        <f>VLOOKUP($A21,'Summary Data (40)'!$C$2:$N$239,12,1)</f>
        <v>0</v>
      </c>
      <c r="W21" s="3">
        <f>VLOOKUP($A21,'Summary Data (40)'!$C$2:$N$239,11,1)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(40)'!$C$2:$L$239,3,0)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(40)'!$C$2:$L$239,5,1)</f>
        <v>2.8105259999999999</v>
      </c>
      <c r="G22" s="3">
        <f>VLOOKUP($A22,'Summary Data (40)'!$C$2:$L$239,6,1)</f>
        <v>1.8087299999999999</v>
      </c>
      <c r="H22" s="3">
        <f>VLOOKUP($A22,'Summary Data (40)'!$C$2:$L$239,7,1)</f>
        <v>5.6832770000000004</v>
      </c>
      <c r="I22" s="3" t="str">
        <f>VLOOKUP($A22,'Summary Data (40)'!$C$2:$L$239,4,0)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9.8174677891707383</v>
      </c>
      <c r="N22" s="3">
        <f t="shared" si="1"/>
        <v>8.8982260993641322</v>
      </c>
      <c r="O22" s="3">
        <f t="shared" si="2"/>
        <v>1.5015515309172709</v>
      </c>
      <c r="P22" s="3">
        <f t="shared" si="3"/>
        <v>7.3966745684468611</v>
      </c>
      <c r="Q22" s="5">
        <f t="shared" si="4"/>
        <v>4.9260211295767951</v>
      </c>
      <c r="R22" s="3">
        <f t="shared" si="5"/>
        <v>-85.071579131103505</v>
      </c>
      <c r="S22" s="3">
        <f t="shared" si="6"/>
        <v>38.9456837320445</v>
      </c>
      <c r="T22" s="3">
        <f t="shared" si="7"/>
        <v>124.01726286314801</v>
      </c>
      <c r="U22" s="3">
        <f>VLOOKUP($A22,'Summary Data (40)'!$C$2:$N$239,11,0)</f>
        <v>0</v>
      </c>
      <c r="V22" s="3">
        <f>VLOOKUP($A22,'Summary Data (40)'!$C$2:$N$239,12,1)</f>
        <v>0</v>
      </c>
      <c r="W22" s="3">
        <f>VLOOKUP($A22,'Summary Data (40)'!$C$2:$N$239,11,1)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(40)'!$C$2:$L$239,3,0)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(40)'!$C$2:$L$239,5,1)</f>
        <v>0.96846520000000003</v>
      </c>
      <c r="G23" s="3">
        <f>VLOOKUP($A23,'Summary Data (40)'!$C$2:$L$239,6,1)</f>
        <v>1.8180639999999999</v>
      </c>
      <c r="H23" s="3">
        <f>VLOOKUP($A23,'Summary Data (40)'!$C$2:$L$239,7,1)</f>
        <v>0.91458890000000004</v>
      </c>
      <c r="I23" s="3" t="str">
        <f>VLOOKUP($A23,'Summary Data (40)'!$C$2:$L$239,4,0)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5.3501123859423974</v>
      </c>
      <c r="N23" s="3">
        <f t="shared" si="1"/>
        <v>5.8431747172589539</v>
      </c>
      <c r="O23" s="3">
        <f t="shared" si="2"/>
        <v>4.3718971854333439</v>
      </c>
      <c r="P23" s="3">
        <f t="shared" si="3"/>
        <v>1.4712775318256099</v>
      </c>
      <c r="Q23" s="5">
        <f t="shared" si="4"/>
        <v>0.33653067979908963</v>
      </c>
      <c r="R23" s="3">
        <f t="shared" si="5"/>
        <v>177.02371934116897</v>
      </c>
      <c r="S23" s="3">
        <f t="shared" si="6"/>
        <v>115.84796869186283</v>
      </c>
      <c r="T23" s="3">
        <f t="shared" si="7"/>
        <v>61.175750649306138</v>
      </c>
      <c r="U23" s="3">
        <f>VLOOKUP($A23,'Summary Data (40)'!$C$2:$N$239,11,0)</f>
        <v>0</v>
      </c>
      <c r="V23" s="3">
        <f>VLOOKUP($A23,'Summary Data (40)'!$C$2:$N$239,12,1)</f>
        <v>0</v>
      </c>
      <c r="W23" s="3">
        <f>VLOOKUP($A23,'Summary Data (40)'!$C$2:$N$239,11,1)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(40)'!$C$2:$L$239,3,0)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(40)'!$C$2:$L$239,5,1)</f>
        <v>-2.8074409999999999</v>
      </c>
      <c r="G24" s="3">
        <f>VLOOKUP($A24,'Summary Data (40)'!$C$2:$L$239,6,1)</f>
        <v>1.790387</v>
      </c>
      <c r="H24" s="3">
        <f>VLOOKUP($A24,'Summary Data (40)'!$C$2:$L$239,7,1)</f>
        <v>-2.2006679999999998</v>
      </c>
      <c r="I24" s="3" t="str">
        <f>VLOOKUP($A24,'Summary Data (40)'!$C$2:$L$239,4,0)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6.4669106207450389</v>
      </c>
      <c r="N24" s="3">
        <f t="shared" si="1"/>
        <v>2.739325391899436</v>
      </c>
      <c r="O24" s="3">
        <f t="shared" si="2"/>
        <v>8.8659173242253964</v>
      </c>
      <c r="P24" s="3">
        <f t="shared" si="3"/>
        <v>-6.1265919323259599</v>
      </c>
      <c r="Q24" s="5">
        <f t="shared" si="4"/>
        <v>-0.69102741524394173</v>
      </c>
      <c r="R24" s="3">
        <f t="shared" si="5"/>
        <v>111.35858600069317</v>
      </c>
      <c r="S24" s="3">
        <f t="shared" si="6"/>
        <v>135.60800769362262</v>
      </c>
      <c r="T24" s="3">
        <f t="shared" si="7"/>
        <v>24.249421692929459</v>
      </c>
      <c r="U24" s="3">
        <f>VLOOKUP($A24,'Summary Data (40)'!$C$2:$N$239,11,0)</f>
        <v>0</v>
      </c>
      <c r="V24" s="3">
        <f>VLOOKUP($A24,'Summary Data (40)'!$C$2:$N$239,12,1)</f>
        <v>0</v>
      </c>
      <c r="W24" s="3">
        <f>VLOOKUP($A24,'Summary Data (40)'!$C$2:$N$239,11,1)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(40)'!$C$2:$L$239,3,0)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(40)'!$C$2:$L$239,5,1)</f>
        <v>3.7458279999999999</v>
      </c>
      <c r="G25" s="3">
        <f>VLOOKUP($A25,'Summary Data (40)'!$C$2:$L$239,6,1)</f>
        <v>1.800128</v>
      </c>
      <c r="H25" s="3">
        <f>VLOOKUP($A25,'Summary Data (40)'!$C$2:$L$239,7,1)</f>
        <v>-0.23731450000000001</v>
      </c>
      <c r="I25" s="3" t="str">
        <f>VLOOKUP($A25,'Summary Data (40)'!$C$2:$L$239,4,0)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7.8626438522607813</v>
      </c>
      <c r="N25" s="3">
        <f t="shared" si="1"/>
        <v>0.46847097294736428</v>
      </c>
      <c r="O25" s="3">
        <f t="shared" si="2"/>
        <v>8.0641771433916301</v>
      </c>
      <c r="P25" s="3">
        <f t="shared" si="3"/>
        <v>-7.5957061704442657</v>
      </c>
      <c r="Q25" s="5">
        <f t="shared" si="4"/>
        <v>-0.94190715746723608</v>
      </c>
      <c r="R25" s="3">
        <f t="shared" si="5"/>
        <v>174.57078263739461</v>
      </c>
      <c r="S25" s="3">
        <f t="shared" si="6"/>
        <v>111.5626908970147</v>
      </c>
      <c r="T25" s="3">
        <f t="shared" si="7"/>
        <v>63.008091740379911</v>
      </c>
      <c r="U25" s="3">
        <f>VLOOKUP($A25,'Summary Data (40)'!$C$2:$N$239,11,0)</f>
        <v>0</v>
      </c>
      <c r="V25" s="3">
        <f>VLOOKUP($A25,'Summary Data (40)'!$C$2:$N$239,12,1)</f>
        <v>0</v>
      </c>
      <c r="W25" s="3">
        <f>VLOOKUP($A25,'Summary Data (40)'!$C$2:$N$239,11,1)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(40)'!$C$2:$L$239,3,0)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(40)'!$C$2:$L$239,5,1)</f>
        <v>0.3364337</v>
      </c>
      <c r="G26" s="3">
        <f>VLOOKUP($A26,'Summary Data (40)'!$C$2:$L$239,6,1)</f>
        <v>1.80254</v>
      </c>
      <c r="H26" s="3">
        <f>VLOOKUP($A26,'Summary Data (40)'!$C$2:$L$239,7,1)</f>
        <v>-6.4603479999999998</v>
      </c>
      <c r="I26" s="3" t="str">
        <f>VLOOKUP($A26,'Summary Data (40)'!$C$2:$L$239,4,0)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9.1899361228030134</v>
      </c>
      <c r="N26" s="3">
        <f t="shared" si="1"/>
        <v>11.483180416600607</v>
      </c>
      <c r="O26" s="3">
        <f t="shared" si="2"/>
        <v>4.3329067610554466</v>
      </c>
      <c r="P26" s="3">
        <f t="shared" si="3"/>
        <v>7.1502736555451607</v>
      </c>
      <c r="Q26" s="5">
        <f t="shared" si="4"/>
        <v>1.65022559908569</v>
      </c>
      <c r="R26" s="3">
        <f t="shared" si="5"/>
        <v>-19.074748100261683</v>
      </c>
      <c r="S26" s="3">
        <f t="shared" si="6"/>
        <v>-67.386481592386417</v>
      </c>
      <c r="T26" s="3">
        <f t="shared" si="7"/>
        <v>48.311733492124731</v>
      </c>
      <c r="U26" s="3">
        <f>VLOOKUP($A26,'Summary Data (40)'!$C$2:$N$239,11,0)</f>
        <v>0</v>
      </c>
      <c r="V26" s="3">
        <f>VLOOKUP($A26,'Summary Data (40)'!$C$2:$N$239,12,1)</f>
        <v>0</v>
      </c>
      <c r="W26" s="3">
        <f>VLOOKUP($A26,'Summary Data (40)'!$C$2:$N$239,11,1)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(40)'!$C$2:$L$239,3,0)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(40)'!$C$2:$L$239,5,1)</f>
        <v>-1.1663840000000001</v>
      </c>
      <c r="G27" s="3">
        <f>VLOOKUP($A27,'Summary Data (40)'!$C$2:$L$239,6,1)</f>
        <v>1.808859</v>
      </c>
      <c r="H27" s="3">
        <f>VLOOKUP($A27,'Summary Data (40)'!$C$2:$L$239,7,1)</f>
        <v>3.8968609999999999</v>
      </c>
      <c r="I27" s="3" t="str">
        <f>VLOOKUP($A27,'Summary Data (40)'!$C$2:$L$239,4,0)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2.9227467452341811</v>
      </c>
      <c r="N27" s="3">
        <f t="shared" si="1"/>
        <v>8.0201039246868238</v>
      </c>
      <c r="O27" s="3">
        <f t="shared" si="2"/>
        <v>8.8659173242253964</v>
      </c>
      <c r="P27" s="3">
        <f t="shared" si="3"/>
        <v>-0.8458133995385726</v>
      </c>
      <c r="Q27" s="5">
        <f t="shared" si="4"/>
        <v>-9.5400551190281957E-2</v>
      </c>
      <c r="R27" s="3">
        <f t="shared" si="5"/>
        <v>111.35858600069317</v>
      </c>
      <c r="S27" s="3">
        <f t="shared" si="6"/>
        <v>92.260840142660427</v>
      </c>
      <c r="T27" s="3">
        <f t="shared" si="7"/>
        <v>19.097745858032738</v>
      </c>
      <c r="U27" s="3">
        <f>VLOOKUP($A27,'Summary Data (40)'!$C$2:$N$239,11,0)</f>
        <v>0</v>
      </c>
      <c r="V27" s="3">
        <f>VLOOKUP($A27,'Summary Data (40)'!$C$2:$N$239,12,1)</f>
        <v>0</v>
      </c>
      <c r="W27" s="3">
        <f>VLOOKUP($A27,'Summary Data (40)'!$C$2:$N$239,11,1)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(40)'!$C$2:$L$239,3,0)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(40)'!$C$2:$L$239,5,1)</f>
        <v>-6.0024490000000004</v>
      </c>
      <c r="G28" s="3">
        <f>VLOOKUP($A28,'Summary Data (40)'!$C$2:$L$239,6,1)</f>
        <v>1.8158369999999999</v>
      </c>
      <c r="H28" s="3">
        <f>VLOOKUP($A28,'Summary Data (40)'!$C$2:$L$239,7,1)</f>
        <v>-0.86259010000000003</v>
      </c>
      <c r="I28" s="3" t="str">
        <f>VLOOKUP($A28,'Summary Data (40)'!$C$2:$L$239,4,0)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9.9222604666285115</v>
      </c>
      <c r="N28" s="3">
        <f t="shared" si="1"/>
        <v>9.7508587855439171</v>
      </c>
      <c r="O28" s="3">
        <f t="shared" si="2"/>
        <v>2.5489458605470614</v>
      </c>
      <c r="P28" s="3">
        <f t="shared" si="3"/>
        <v>7.2019129249968561</v>
      </c>
      <c r="Q28" s="5">
        <f t="shared" si="4"/>
        <v>2.8254475846149054</v>
      </c>
      <c r="R28" s="3">
        <f t="shared" si="5"/>
        <v>-77.654050540796021</v>
      </c>
      <c r="S28" s="3">
        <f t="shared" si="6"/>
        <v>-164.0495735191376</v>
      </c>
      <c r="T28" s="3">
        <f t="shared" si="7"/>
        <v>86.395522978341575</v>
      </c>
      <c r="U28" s="3">
        <f>VLOOKUP($A28,'Summary Data (40)'!$C$2:$N$239,11,0)</f>
        <v>0</v>
      </c>
      <c r="V28" s="3">
        <f>VLOOKUP($A28,'Summary Data (40)'!$C$2:$N$239,12,1)</f>
        <v>0</v>
      </c>
      <c r="W28" s="3">
        <f>VLOOKUP($A28,'Summary Data (40)'!$C$2:$N$239,11,1)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(40)'!$C$2:$L$239,3,0)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(40)'!$C$2:$L$239,5,1)</f>
        <v>1.606217</v>
      </c>
      <c r="G29" s="3">
        <f>VLOOKUP($A29,'Summary Data (40)'!$C$2:$L$239,6,1)</f>
        <v>1.8049269999999999</v>
      </c>
      <c r="H29" s="3">
        <f>VLOOKUP($A29,'Summary Data (40)'!$C$2:$L$239,7,1)</f>
        <v>-5.2771980000000003</v>
      </c>
      <c r="I29" s="3" t="str">
        <f>VLOOKUP($A29,'Summary Data (40)'!$C$2:$L$239,4,0)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8.1576932733642913</v>
      </c>
      <c r="N29" s="3">
        <f t="shared" si="1"/>
        <v>11.000241384092122</v>
      </c>
      <c r="O29" s="3">
        <f t="shared" si="2"/>
        <v>4.3329067610554466</v>
      </c>
      <c r="P29" s="3">
        <f t="shared" si="3"/>
        <v>6.6673346230366759</v>
      </c>
      <c r="Q29" s="5">
        <f t="shared" si="4"/>
        <v>1.5387671581034874</v>
      </c>
      <c r="R29" s="3">
        <f t="shared" si="5"/>
        <v>-19.074748100261683</v>
      </c>
      <c r="S29" s="3">
        <f t="shared" si="6"/>
        <v>-58.880376342536863</v>
      </c>
      <c r="T29" s="3">
        <f t="shared" si="7"/>
        <v>39.805628242275176</v>
      </c>
      <c r="U29" s="3">
        <f>VLOOKUP($A29,'Summary Data (40)'!$C$2:$N$239,11,0)</f>
        <v>0</v>
      </c>
      <c r="V29" s="3">
        <f>VLOOKUP($A29,'Summary Data (40)'!$C$2:$N$239,12,1)</f>
        <v>0</v>
      </c>
      <c r="W29" s="3">
        <f>VLOOKUP($A29,'Summary Data (40)'!$C$2:$N$239,11,1)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(40)'!$C$2:$L$239,3,0)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(40)'!$C$2:$L$239,5,1)</f>
        <v>4.8860650000000003</v>
      </c>
      <c r="G30" s="3">
        <f>VLOOKUP($A30,'Summary Data (40)'!$C$2:$L$239,6,1)</f>
        <v>1.8226519999999999</v>
      </c>
      <c r="H30" s="3">
        <f>VLOOKUP($A30,'Summary Data (40)'!$C$2:$L$239,7,1)</f>
        <v>5.2771020000000002</v>
      </c>
      <c r="I30" s="3" t="str">
        <f>VLOOKUP($A30,'Summary Data (40)'!$C$2:$L$239,4,0)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11.006888482701594</v>
      </c>
      <c r="N30" s="3">
        <f t="shared" si="1"/>
        <v>9.7181624702733291</v>
      </c>
      <c r="O30" s="3">
        <f t="shared" si="2"/>
        <v>4.3718971854333439</v>
      </c>
      <c r="P30" s="3">
        <f t="shared" si="3"/>
        <v>5.3462652848399852</v>
      </c>
      <c r="Q30" s="5">
        <f t="shared" si="4"/>
        <v>1.2228707716762239</v>
      </c>
      <c r="R30" s="3">
        <f t="shared" si="5"/>
        <v>177.02371934116897</v>
      </c>
      <c r="S30" s="3">
        <f t="shared" si="6"/>
        <v>81.895450620108775</v>
      </c>
      <c r="T30" s="3">
        <f t="shared" si="7"/>
        <v>95.128268721060195</v>
      </c>
      <c r="U30" s="3">
        <f>VLOOKUP($A30,'Summary Data (40)'!$C$2:$N$239,11,0)</f>
        <v>0</v>
      </c>
      <c r="V30" s="3">
        <f>VLOOKUP($A30,'Summary Data (40)'!$C$2:$N$239,12,1)</f>
        <v>0</v>
      </c>
      <c r="W30" s="3">
        <f>VLOOKUP($A30,'Summary Data (40)'!$C$2:$N$239,11,1)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(40)'!$C$2:$L$239,3,0)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(40)'!$C$2:$L$239,5,1)</f>
        <v>1.3715470000000001</v>
      </c>
      <c r="G31" s="3">
        <f>VLOOKUP($A31,'Summary Data (40)'!$C$2:$L$239,6,1)</f>
        <v>1.816154</v>
      </c>
      <c r="H31" s="3">
        <f>VLOOKUP($A31,'Summary Data (40)'!$C$2:$L$239,7,1)</f>
        <v>7.9117449999999998</v>
      </c>
      <c r="I31" s="3" t="str">
        <f>VLOOKUP($A31,'Summary Data (40)'!$C$2:$L$239,4,0)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10.745702921272018</v>
      </c>
      <c r="N31" s="3">
        <f t="shared" si="1"/>
        <v>9.5512853772795427</v>
      </c>
      <c r="O31" s="3">
        <f t="shared" si="2"/>
        <v>1.5015515309172709</v>
      </c>
      <c r="P31" s="3">
        <f t="shared" si="3"/>
        <v>8.0497338463622725</v>
      </c>
      <c r="Q31" s="5">
        <f t="shared" si="4"/>
        <v>5.360944117212437</v>
      </c>
      <c r="R31" s="3">
        <f t="shared" si="5"/>
        <v>-85.071579131103505</v>
      </c>
      <c r="S31" s="3">
        <f t="shared" si="6"/>
        <v>54.97689396495268</v>
      </c>
      <c r="T31" s="3">
        <f t="shared" si="7"/>
        <v>140.04847309605617</v>
      </c>
      <c r="U31" s="3">
        <f>VLOOKUP($A31,'Summary Data (40)'!$C$2:$N$239,11,0)</f>
        <v>0</v>
      </c>
      <c r="V31" s="3">
        <f>VLOOKUP($A31,'Summary Data (40)'!$C$2:$N$239,12,1)</f>
        <v>0</v>
      </c>
      <c r="W31" s="3">
        <f>VLOOKUP($A31,'Summary Data (40)'!$C$2:$N$239,11,1)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(40)'!$C$2:$L$239,3,0)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(40)'!$C$2:$L$239,5,1)</f>
        <v>-2.9748239999999999</v>
      </c>
      <c r="G32" s="3">
        <f>VLOOKUP($A32,'Summary Data (40)'!$C$2:$L$239,6,1)</f>
        <v>1.8072010000000001</v>
      </c>
      <c r="H32" s="3">
        <f>VLOOKUP($A32,'Summary Data (40)'!$C$2:$L$239,7,1)</f>
        <v>-3.0441600000000002</v>
      </c>
      <c r="I32" s="3" t="str">
        <f>VLOOKUP($A32,'Summary Data (40)'!$C$2:$L$239,4,0)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3.3334041844000857</v>
      </c>
      <c r="N32" s="3">
        <f t="shared" si="1"/>
        <v>7.2892676203152265</v>
      </c>
      <c r="O32" s="3">
        <f t="shared" si="2"/>
        <v>8.0641771433916301</v>
      </c>
      <c r="P32" s="3">
        <f t="shared" si="3"/>
        <v>-0.77490952307640359</v>
      </c>
      <c r="Q32" s="5">
        <f t="shared" si="4"/>
        <v>-9.6092820048158348E-2</v>
      </c>
      <c r="R32" s="3">
        <f t="shared" si="5"/>
        <v>174.57078263739461</v>
      </c>
      <c r="S32" s="3">
        <f t="shared" si="6"/>
        <v>-161.0165707788635</v>
      </c>
      <c r="T32" s="3">
        <f t="shared" si="7"/>
        <v>24.412646583741889</v>
      </c>
      <c r="U32" s="3">
        <f>VLOOKUP($A32,'Summary Data (40)'!$C$2:$N$239,11,0)</f>
        <v>0</v>
      </c>
      <c r="V32" s="3">
        <f>VLOOKUP($A32,'Summary Data (40)'!$C$2:$N$239,12,1)</f>
        <v>0</v>
      </c>
      <c r="W32" s="3">
        <f>VLOOKUP($A32,'Summary Data (40)'!$C$2:$N$239,11,1)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(40)'!$C$2:$L$239,3,0)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(40)'!$C$2:$L$239,5,1)</f>
        <v>0.27816030000000003</v>
      </c>
      <c r="G33" s="3">
        <f>VLOOKUP($A33,'Summary Data (40)'!$C$2:$L$239,6,1)</f>
        <v>1.8165830000000001</v>
      </c>
      <c r="H33" s="3">
        <f>VLOOKUP($A33,'Summary Data (40)'!$C$2:$L$239,7,1)</f>
        <v>-6.0286650000000002</v>
      </c>
      <c r="I33" s="3" t="str">
        <f>VLOOKUP($A33,'Summary Data (40)'!$C$2:$L$239,4,0)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3.6498906949552734</v>
      </c>
      <c r="N33" s="3">
        <f t="shared" si="1"/>
        <v>8.7565902396492827</v>
      </c>
      <c r="O33" s="3">
        <f t="shared" si="2"/>
        <v>7.8871175977032326</v>
      </c>
      <c r="P33" s="3">
        <f t="shared" si="3"/>
        <v>0.86947264194605012</v>
      </c>
      <c r="Q33" s="5">
        <f t="shared" si="4"/>
        <v>0.11023959401838319</v>
      </c>
      <c r="R33" s="3">
        <f t="shared" si="5"/>
        <v>-63.65586590726528</v>
      </c>
      <c r="S33" s="3">
        <f t="shared" si="6"/>
        <v>-88.284386601054493</v>
      </c>
      <c r="T33" s="3">
        <f t="shared" si="7"/>
        <v>24.628520693789213</v>
      </c>
      <c r="U33" s="3">
        <f>VLOOKUP($A33,'Summary Data (40)'!$C$2:$N$239,11,0)</f>
        <v>0</v>
      </c>
      <c r="V33" s="3">
        <f>VLOOKUP($A33,'Summary Data (40)'!$C$2:$N$239,12,1)</f>
        <v>0</v>
      </c>
      <c r="W33" s="3">
        <f>VLOOKUP($A33,'Summary Data (40)'!$C$2:$N$239,11,1)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(40)'!$C$2:$L$239,3,0)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(40)'!$C$2:$L$239,5,1)</f>
        <v>5.4931029999999996</v>
      </c>
      <c r="G34" s="3">
        <f>VLOOKUP($A34,'Summary Data (40)'!$C$2:$L$239,6,1)</f>
        <v>1.7656940000000001</v>
      </c>
      <c r="H34" s="3">
        <f>VLOOKUP($A34,'Summary Data (40)'!$C$2:$L$239,7,1)</f>
        <v>4.1834160000000002</v>
      </c>
      <c r="I34" s="3" t="str">
        <f>VLOOKUP($A34,'Summary Data (40)'!$C$2:$L$239,4,0)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3.1772254272659026</v>
      </c>
      <c r="N34" s="3">
        <f t="shared" si="1"/>
        <v>11.00000903979924</v>
      </c>
      <c r="O34" s="3">
        <f t="shared" si="2"/>
        <v>8.0292617967033557</v>
      </c>
      <c r="P34" s="3">
        <f t="shared" si="3"/>
        <v>2.9707472430958841</v>
      </c>
      <c r="Q34" s="5">
        <f t="shared" si="4"/>
        <v>0.36999008356105784</v>
      </c>
      <c r="R34" s="3">
        <f t="shared" si="5"/>
        <v>23.666151625811782</v>
      </c>
      <c r="S34" s="3">
        <f t="shared" si="6"/>
        <v>30.539237622288478</v>
      </c>
      <c r="T34" s="3">
        <f t="shared" si="7"/>
        <v>6.8730859964766964</v>
      </c>
      <c r="U34" s="3">
        <f>VLOOKUP($A34,'Summary Data (40)'!$C$2:$N$239,11,0)</f>
        <v>0</v>
      </c>
      <c r="V34" s="3">
        <f>VLOOKUP($A34,'Summary Data (40)'!$C$2:$N$239,12,1)</f>
        <v>0</v>
      </c>
      <c r="W34" s="3">
        <f>VLOOKUP($A34,'Summary Data (40)'!$C$2:$N$239,11,1)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(40)'!$C$2:$L$239,3,0)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(40)'!$C$2:$L$239,5,1)</f>
        <v>-3.210181</v>
      </c>
      <c r="G35" s="3">
        <f>VLOOKUP($A35,'Summary Data (40)'!$C$2:$L$239,6,1)</f>
        <v>1.807415</v>
      </c>
      <c r="H35" s="3">
        <f>VLOOKUP($A35,'Summary Data (40)'!$C$2:$L$239,7,1)</f>
        <v>-1.9866779999999999</v>
      </c>
      <c r="I35" s="3" t="str">
        <f>VLOOKUP($A35,'Summary Data (40)'!$C$2:$L$239,4,0)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2.2632423088226767</v>
      </c>
      <c r="N35" s="3">
        <f t="shared" si="1"/>
        <v>7.2482214547049395</v>
      </c>
      <c r="O35" s="3">
        <f t="shared" si="2"/>
        <v>8.0641771433916301</v>
      </c>
      <c r="P35" s="3">
        <f t="shared" si="3"/>
        <v>-0.81595568868669055</v>
      </c>
      <c r="Q35" s="5">
        <f t="shared" si="4"/>
        <v>-0.10118275853542523</v>
      </c>
      <c r="R35" s="3">
        <f t="shared" si="5"/>
        <v>174.57078263739461</v>
      </c>
      <c r="S35" s="3">
        <f t="shared" si="6"/>
        <v>-169.55792223274767</v>
      </c>
      <c r="T35" s="3">
        <f t="shared" si="7"/>
        <v>15.871295129857685</v>
      </c>
      <c r="U35" s="3">
        <f>VLOOKUP($A35,'Summary Data (40)'!$C$2:$N$239,11,0)</f>
        <v>0</v>
      </c>
      <c r="V35" s="3">
        <f>VLOOKUP($A35,'Summary Data (40)'!$C$2:$N$239,12,1)</f>
        <v>0</v>
      </c>
      <c r="W35" s="3">
        <f>VLOOKUP($A35,'Summary Data (40)'!$C$2:$N$239,11,1)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(40)'!$C$2:$L$239,3,0)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(40)'!$C$2:$L$239,5,1)</f>
        <v>-6.6488399999999999</v>
      </c>
      <c r="G36" s="3">
        <f>VLOOKUP($A36,'Summary Data (40)'!$C$2:$L$239,6,1)</f>
        <v>1.80301</v>
      </c>
      <c r="H36" s="3">
        <f>VLOOKUP($A36,'Summary Data (40)'!$C$2:$L$239,7,1)</f>
        <v>-0.32319710000000001</v>
      </c>
      <c r="I36" s="3" t="str">
        <f>VLOOKUP($A36,'Summary Data (40)'!$C$2:$L$239,4,0)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10.572628322912349</v>
      </c>
      <c r="N36" s="3">
        <f t="shared" si="1"/>
        <v>10.247815406829321</v>
      </c>
      <c r="O36" s="3">
        <f t="shared" si="2"/>
        <v>2.5489458605470614</v>
      </c>
      <c r="P36" s="3">
        <f t="shared" si="3"/>
        <v>7.6988695462822605</v>
      </c>
      <c r="Q36" s="5">
        <f t="shared" si="4"/>
        <v>3.0204131305597479</v>
      </c>
      <c r="R36" s="3">
        <f t="shared" si="5"/>
        <v>-77.654050540796021</v>
      </c>
      <c r="S36" s="3">
        <f t="shared" si="6"/>
        <v>-167.9453703279525</v>
      </c>
      <c r="T36" s="3">
        <f t="shared" si="7"/>
        <v>90.291319787156482</v>
      </c>
      <c r="U36" s="3">
        <f>VLOOKUP($A36,'Summary Data (40)'!$C$2:$N$239,11,0)</f>
        <v>0</v>
      </c>
      <c r="V36" s="3">
        <f>VLOOKUP($A36,'Summary Data (40)'!$C$2:$N$239,12,1)</f>
        <v>0</v>
      </c>
      <c r="W36" s="3">
        <f>VLOOKUP($A36,'Summary Data (40)'!$C$2:$N$239,11,1)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(40)'!$C$2:$L$239,3,0)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(40)'!$C$2:$L$239,5,1)</f>
        <v>-1.235474</v>
      </c>
      <c r="G37" s="3">
        <f>VLOOKUP($A37,'Summary Data (40)'!$C$2:$L$239,6,1)</f>
        <v>1.8047120000000001</v>
      </c>
      <c r="H37" s="3">
        <f>VLOOKUP($A37,'Summary Data (40)'!$C$2:$L$239,7,1)</f>
        <v>-4.1268479999999998</v>
      </c>
      <c r="I37" s="3" t="str">
        <f>VLOOKUP($A37,'Summary Data (40)'!$C$2:$L$239,4,0)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6.9642160715891066</v>
      </c>
      <c r="N37" s="3">
        <f t="shared" si="1"/>
        <v>8.7422203110983201</v>
      </c>
      <c r="O37" s="3">
        <f t="shared" si="2"/>
        <v>4.3329067610554466</v>
      </c>
      <c r="P37" s="3">
        <f t="shared" si="3"/>
        <v>4.4093135500428735</v>
      </c>
      <c r="Q37" s="5">
        <f t="shared" si="4"/>
        <v>1.0176340718139099</v>
      </c>
      <c r="R37" s="3">
        <f t="shared" si="5"/>
        <v>-19.074748100261683</v>
      </c>
      <c r="S37" s="3">
        <f t="shared" si="6"/>
        <v>-71.018454473956169</v>
      </c>
      <c r="T37" s="3">
        <f t="shared" si="7"/>
        <v>51.943706373694482</v>
      </c>
      <c r="U37" s="3">
        <f>VLOOKUP($A37,'Summary Data (40)'!$C$2:$N$239,11,0)</f>
        <v>0</v>
      </c>
      <c r="V37" s="3">
        <f>VLOOKUP($A37,'Summary Data (40)'!$C$2:$N$239,12,1)</f>
        <v>0</v>
      </c>
      <c r="W37" s="3">
        <f>VLOOKUP($A37,'Summary Data (40)'!$C$2:$N$239,11,1)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(40)'!$C$2:$L$239,3,0)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(40)'!$C$2:$L$239,5,1)</f>
        <v>6.4025639999999999</v>
      </c>
      <c r="G38" s="3">
        <f>VLOOKUP($A38,'Summary Data (40)'!$C$2:$L$239,6,1)</f>
        <v>1.7999320000000001</v>
      </c>
      <c r="H38" s="3">
        <f>VLOOKUP($A38,'Summary Data (40)'!$C$2:$L$239,7,1)</f>
        <v>0.49889410000000001</v>
      </c>
      <c r="I38" s="3" t="str">
        <f>VLOOKUP($A38,'Summary Data (40)'!$C$2:$L$239,4,0)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3.303885771892062</v>
      </c>
      <c r="N38" s="3">
        <f t="shared" si="1"/>
        <v>10.556847203323102</v>
      </c>
      <c r="O38" s="3">
        <f t="shared" si="2"/>
        <v>8.0292617967033557</v>
      </c>
      <c r="P38" s="3">
        <f t="shared" si="3"/>
        <v>2.5275854066197461</v>
      </c>
      <c r="Q38" s="5">
        <f t="shared" si="4"/>
        <v>0.31479673606576369</v>
      </c>
      <c r="R38" s="3">
        <f t="shared" si="5"/>
        <v>23.666151625811782</v>
      </c>
      <c r="S38" s="3">
        <f t="shared" si="6"/>
        <v>10.395481148541185</v>
      </c>
      <c r="T38" s="3">
        <f t="shared" si="7"/>
        <v>13.270670477270597</v>
      </c>
      <c r="U38" s="3">
        <f>VLOOKUP($A38,'Summary Data (40)'!$C$2:$N$239,11,0)</f>
        <v>0</v>
      </c>
      <c r="V38" s="3">
        <f>VLOOKUP($A38,'Summary Data (40)'!$C$2:$N$239,12,1)</f>
        <v>0</v>
      </c>
      <c r="W38" s="3">
        <f>VLOOKUP($A38,'Summary Data (40)'!$C$2:$N$239,11,1)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(40)'!$C$2:$L$239,3,0)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(40)'!$C$2:$L$239,5,1)</f>
        <v>-3.6735739999999999</v>
      </c>
      <c r="G39" s="3">
        <f>VLOOKUP($A39,'Summary Data (40)'!$C$2:$L$239,6,1)</f>
        <v>1.8233760000000001</v>
      </c>
      <c r="H39" s="3">
        <f>VLOOKUP($A39,'Summary Data (40)'!$C$2:$L$239,7,1)</f>
        <v>-1.909762</v>
      </c>
      <c r="I39" s="3" t="str">
        <f>VLOOKUP($A39,'Summary Data (40)'!$C$2:$L$239,4,0)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2.0468306500831965</v>
      </c>
      <c r="N39" s="3">
        <f t="shared" si="1"/>
        <v>7.6916562613080934</v>
      </c>
      <c r="O39" s="3">
        <f t="shared" si="2"/>
        <v>8.0641771433916301</v>
      </c>
      <c r="P39" s="3">
        <f t="shared" si="3"/>
        <v>-0.37252088208353662</v>
      </c>
      <c r="Q39" s="5">
        <f t="shared" si="4"/>
        <v>-4.6194531129416863E-2</v>
      </c>
      <c r="R39" s="3">
        <f t="shared" si="5"/>
        <v>174.57078263739461</v>
      </c>
      <c r="S39" s="3">
        <f t="shared" si="6"/>
        <v>-170.74709099509337</v>
      </c>
      <c r="T39" s="3">
        <f t="shared" si="7"/>
        <v>14.682126367512012</v>
      </c>
      <c r="U39" s="3">
        <f>VLOOKUP($A39,'Summary Data (40)'!$C$2:$N$239,11,0)</f>
        <v>0</v>
      </c>
      <c r="V39" s="3">
        <f>VLOOKUP($A39,'Summary Data (40)'!$C$2:$N$239,12,1)</f>
        <v>0</v>
      </c>
      <c r="W39" s="3">
        <f>VLOOKUP($A39,'Summary Data (40)'!$C$2:$N$239,11,1)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(40)'!$C$2:$L$239,3,0)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(40)'!$C$2:$L$239,5,1)</f>
        <v>0.23862910000000001</v>
      </c>
      <c r="G40" s="3">
        <f>VLOOKUP($A40,'Summary Data (40)'!$C$2:$L$239,6,1)</f>
        <v>1.8095250000000001</v>
      </c>
      <c r="H40" s="3">
        <f>VLOOKUP($A40,'Summary Data (40)'!$C$2:$L$239,7,1)</f>
        <v>-5.1979519999999999</v>
      </c>
      <c r="I40" s="3" t="str">
        <f>VLOOKUP($A40,'Summary Data (40)'!$C$2:$L$239,4,0)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3.3867970170163448</v>
      </c>
      <c r="N40" s="3">
        <f t="shared" si="1"/>
        <v>7.9250796340775533</v>
      </c>
      <c r="O40" s="3">
        <f t="shared" si="2"/>
        <v>7.8871175977032326</v>
      </c>
      <c r="P40" s="3">
        <f t="shared" si="3"/>
        <v>3.7962036374320718E-2</v>
      </c>
      <c r="Q40" s="5">
        <f t="shared" si="4"/>
        <v>4.8131698182585043E-3</v>
      </c>
      <c r="R40" s="3">
        <f t="shared" si="5"/>
        <v>-63.65586590726528</v>
      </c>
      <c r="S40" s="3">
        <f t="shared" si="6"/>
        <v>-88.390251367192377</v>
      </c>
      <c r="T40" s="3">
        <f t="shared" si="7"/>
        <v>24.734385459927097</v>
      </c>
      <c r="U40" s="3">
        <f>VLOOKUP($A40,'Summary Data (40)'!$C$2:$N$239,11,0)</f>
        <v>0</v>
      </c>
      <c r="V40" s="3">
        <f>VLOOKUP($A40,'Summary Data (40)'!$C$2:$N$239,12,1)</f>
        <v>0</v>
      </c>
      <c r="W40" s="3">
        <f>VLOOKUP($A40,'Summary Data (40)'!$C$2:$N$239,11,1)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(40)'!$C$2:$L$239,3,0)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(40)'!$C$2:$L$239,5,1)</f>
        <v>0.63115690000000002</v>
      </c>
      <c r="G41" s="3">
        <f>VLOOKUP($A41,'Summary Data (40)'!$C$2:$L$239,6,1)</f>
        <v>1.812799</v>
      </c>
      <c r="H41" s="3">
        <f>VLOOKUP($A41,'Summary Data (40)'!$C$2:$L$239,7,1)</f>
        <v>1.2444299999999999</v>
      </c>
      <c r="I41" s="3" t="str">
        <f>VLOOKUP($A41,'Summary Data (40)'!$C$2:$L$239,4,0)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5.529005665354088</v>
      </c>
      <c r="N41" s="3">
        <f t="shared" si="1"/>
        <v>5.5622618966853414</v>
      </c>
      <c r="O41" s="3">
        <f t="shared" si="2"/>
        <v>8.8659173242253964</v>
      </c>
      <c r="P41" s="3">
        <f t="shared" si="3"/>
        <v>-3.3036554275400549</v>
      </c>
      <c r="Q41" s="5">
        <f t="shared" si="4"/>
        <v>-0.37262420872266494</v>
      </c>
      <c r="R41" s="3">
        <f t="shared" si="5"/>
        <v>111.35858600069317</v>
      </c>
      <c r="S41" s="3">
        <f t="shared" si="6"/>
        <v>74.55657153843714</v>
      </c>
      <c r="T41" s="3">
        <f t="shared" si="7"/>
        <v>36.802014462256025</v>
      </c>
      <c r="U41" s="3">
        <f>VLOOKUP($A41,'Summary Data (40)'!$C$2:$N$239,11,0)</f>
        <v>0</v>
      </c>
      <c r="V41" s="3">
        <f>VLOOKUP($A41,'Summary Data (40)'!$C$2:$N$239,12,1)</f>
        <v>0</v>
      </c>
      <c r="W41" s="3">
        <f>VLOOKUP($A41,'Summary Data (40)'!$C$2:$N$239,11,1)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1.1599534818236887</v>
      </c>
      <c r="T42" s="3">
        <f>AVERAGE(T2:T41)</f>
        <v>57.120502057625814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2017-09-13T11:22:44Z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