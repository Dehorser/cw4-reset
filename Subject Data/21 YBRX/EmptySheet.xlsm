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1 YBRX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D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J18" i="3" l="1"/>
  <c r="C12" i="3"/>
  <c r="D13" i="3"/>
  <c r="C39" i="3"/>
  <c r="N39" i="3" s="1"/>
  <c r="C13" i="3"/>
  <c r="D36" i="3"/>
  <c r="L40" i="3"/>
  <c r="D3" i="3"/>
  <c r="L7" i="3"/>
  <c r="L9" i="3"/>
  <c r="E12" i="3"/>
  <c r="C22" i="3"/>
  <c r="S22" i="3" s="1"/>
  <c r="C28" i="3"/>
  <c r="J29" i="3"/>
  <c r="J5" i="3"/>
  <c r="E22" i="3"/>
  <c r="L25" i="3"/>
  <c r="E28" i="3"/>
  <c r="N28" i="3" s="1"/>
  <c r="K29" i="3"/>
  <c r="D35" i="3"/>
  <c r="C36" i="3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M14" i="3" s="1"/>
  <c r="E15" i="3"/>
  <c r="L16" i="3"/>
  <c r="L20" i="3"/>
  <c r="J25" i="3"/>
  <c r="C32" i="3"/>
  <c r="E33" i="3"/>
  <c r="J36" i="3"/>
  <c r="J40" i="3"/>
  <c r="M40" i="3" s="1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S32" i="3" s="1"/>
  <c r="L36" i="3"/>
  <c r="K37" i="3"/>
  <c r="E2" i="3"/>
  <c r="E3" i="3"/>
  <c r="S3" i="3" s="1"/>
  <c r="J6" i="3"/>
  <c r="E8" i="3"/>
  <c r="S8" i="3" s="1"/>
  <c r="L12" i="3"/>
  <c r="E16" i="3"/>
  <c r="N16" i="3" s="1"/>
  <c r="C17" i="3"/>
  <c r="L17" i="3"/>
  <c r="M17" i="3" s="1"/>
  <c r="C20" i="3"/>
  <c r="L21" i="3"/>
  <c r="M21" i="3" s="1"/>
  <c r="J23" i="3"/>
  <c r="C24" i="3"/>
  <c r="S24" i="3" s="1"/>
  <c r="C26" i="3"/>
  <c r="D27" i="3"/>
  <c r="K28" i="3"/>
  <c r="C30" i="3"/>
  <c r="N30" i="3" s="1"/>
  <c r="D31" i="3"/>
  <c r="K32" i="3"/>
  <c r="J33" i="3"/>
  <c r="S36" i="3"/>
  <c r="D40" i="3"/>
  <c r="J41" i="3"/>
  <c r="M41" i="3" s="1"/>
  <c r="S4" i="3"/>
  <c r="S9" i="3"/>
  <c r="K6" i="3"/>
  <c r="S12" i="3"/>
  <c r="N13" i="3"/>
  <c r="P13" i="3" s="1"/>
  <c r="Q13" i="3" s="1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O13" i="3"/>
  <c r="K18" i="3"/>
  <c r="L27" i="3"/>
  <c r="M27" i="3" s="1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N20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J15" i="3"/>
  <c r="L15" i="3"/>
  <c r="K15" i="3"/>
  <c r="C18" i="3"/>
  <c r="S18" i="3" s="1"/>
  <c r="E18" i="3"/>
  <c r="D18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D29" i="3"/>
  <c r="K30" i="3"/>
  <c r="N35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R36" i="3"/>
  <c r="M37" i="3"/>
  <c r="J38" i="3"/>
  <c r="K39" i="3"/>
  <c r="J39" i="3"/>
  <c r="M36" i="3"/>
  <c r="N22" i="3" l="1"/>
  <c r="N12" i="3"/>
  <c r="T36" i="3"/>
  <c r="N3" i="3"/>
  <c r="M23" i="3"/>
  <c r="O17" i="3"/>
  <c r="N32" i="3"/>
  <c r="R4" i="3"/>
  <c r="T4" i="3" s="1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P32" i="3" s="1"/>
  <c r="Q32" i="3" s="1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33" i="3" l="1"/>
  <c r="T27" i="3"/>
  <c r="T38" i="3"/>
  <c r="T10" i="3"/>
  <c r="P25" i="3"/>
  <c r="Q25" i="3" s="1"/>
  <c r="T11" i="3"/>
  <c r="T7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<sst xmlns="http://schemas.openxmlformats.org/spreadsheetml/2006/main" count="394" uniqueCount="37">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</sst>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42972.634664351855</v>
      </c>
      <c r="B2">
        <v>1290.7539999999999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1.6</v>
      </c>
      <c r="I2">
        <v>-4.117</v>
      </c>
      <c r="J2">
        <v>13.704739999999999</v>
      </c>
      <c r="K2">
        <v>72.42313</v>
      </c>
      <c r="L2">
        <v>354.15109999999999</v>
      </c>
    </row>
    <row r="3" spans="1:12" x14ac:dyDescent="0.2">
      <c r="A3" s="1">
        <v>42972.634780092594</v>
      </c>
      <c r="B3">
        <v>1300.6300000000001</v>
      </c>
      <c r="C3">
        <v>0</v>
      </c>
      <c r="D3" t="s">
        <v>35</v>
      </c>
      <c r="E3" t="s">
        <v>0</v>
      </c>
      <c r="F3" t="s">
        <v>1</v>
      </c>
      <c r="G3">
        <v>-0.62895100000000004</v>
      </c>
      <c r="H3">
        <v>1.6</v>
      </c>
      <c r="I3">
        <v>-4.2993690000000004</v>
      </c>
      <c r="J3">
        <v>9.7621330000000004</v>
      </c>
      <c r="K3">
        <v>39.397089999999999</v>
      </c>
      <c r="L3">
        <v>354.93310000000002</v>
      </c>
    </row>
    <row r="4" spans="1:12" x14ac:dyDescent="0.2">
      <c r="A4" s="1">
        <v>42972.635266203702</v>
      </c>
      <c r="B4">
        <v>1342.6079999999999</v>
      </c>
      <c r="C4">
        <v>0</v>
      </c>
      <c r="D4" t="s">
        <v>36</v>
      </c>
      <c r="E4" t="s">
        <v>0</v>
      </c>
      <c r="F4" t="s">
        <v>1</v>
      </c>
      <c r="G4">
        <v>3.9982199999999999</v>
      </c>
      <c r="H4">
        <v>1.6</v>
      </c>
      <c r="I4">
        <v>3.2892769999999998</v>
      </c>
      <c r="J4">
        <v>11.570830000000001</v>
      </c>
      <c r="K4">
        <v>7.32721</v>
      </c>
      <c r="L4">
        <v>351.17630000000003</v>
      </c>
    </row>
    <row r="5" spans="1:12" x14ac:dyDescent="0.2">
      <c r="A5" s="1">
        <v>42972.635381944441</v>
      </c>
      <c r="B5">
        <v>1352.2829999999999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1.6</v>
      </c>
      <c r="I5">
        <v>-4.3440000000000003</v>
      </c>
      <c r="J5">
        <v>13.209059999999999</v>
      </c>
      <c r="K5">
        <v>18.213190000000001</v>
      </c>
      <c r="L5">
        <v>352.22219999999999</v>
      </c>
    </row>
    <row r="6" spans="1:12" x14ac:dyDescent="0.2">
      <c r="A6" s="1">
        <v>42972.63554398148</v>
      </c>
      <c r="B6">
        <v>1366.577</v>
      </c>
      <c r="C6">
        <v>1</v>
      </c>
      <c r="D6" t="s">
        <v>35</v>
      </c>
      <c r="E6" t="s">
        <v>2</v>
      </c>
      <c r="F6" t="s">
        <v>0</v>
      </c>
      <c r="G6">
        <v>3.929935</v>
      </c>
      <c r="H6">
        <v>1.6</v>
      </c>
      <c r="I6">
        <v>-4.345809</v>
      </c>
      <c r="J6">
        <v>4.8297059999999998</v>
      </c>
      <c r="K6">
        <v>1.672811</v>
      </c>
      <c r="L6">
        <v>354.35950000000003</v>
      </c>
    </row>
    <row r="7" spans="1:12" x14ac:dyDescent="0.2">
      <c r="A7" s="1">
        <v>42972.635671296295</v>
      </c>
      <c r="B7">
        <v>1377.673</v>
      </c>
      <c r="C7">
        <v>1</v>
      </c>
      <c r="D7" t="s">
        <v>36</v>
      </c>
      <c r="E7" t="s">
        <v>2</v>
      </c>
      <c r="F7" t="s">
        <v>0</v>
      </c>
      <c r="G7">
        <v>-0.62818169999999995</v>
      </c>
      <c r="H7">
        <v>1.6</v>
      </c>
      <c r="I7">
        <v>-3.5032209999999999</v>
      </c>
      <c r="J7">
        <v>9.2238889999999998</v>
      </c>
      <c r="K7">
        <v>184.97450000000001</v>
      </c>
      <c r="L7">
        <v>356.8263</v>
      </c>
    </row>
    <row r="8" spans="1:12" x14ac:dyDescent="0.2">
      <c r="A8" s="1">
        <v>42972.635694444441</v>
      </c>
      <c r="B8">
        <v>1380.0329999999999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1.6</v>
      </c>
      <c r="I8">
        <v>1.8169999999999999</v>
      </c>
      <c r="J8">
        <v>10.7683</v>
      </c>
      <c r="K8">
        <v>183.93270000000001</v>
      </c>
      <c r="L8">
        <v>353.8974</v>
      </c>
    </row>
    <row r="9" spans="1:12" x14ac:dyDescent="0.2">
      <c r="A9" s="1">
        <v>42972.635763888888</v>
      </c>
      <c r="B9">
        <v>1385.9079999999999</v>
      </c>
      <c r="C9">
        <v>2</v>
      </c>
      <c r="D9" t="s">
        <v>35</v>
      </c>
      <c r="E9" t="s">
        <v>3</v>
      </c>
      <c r="F9" t="s">
        <v>4</v>
      </c>
      <c r="G9">
        <v>3.3779249999999998</v>
      </c>
      <c r="H9">
        <v>1.6</v>
      </c>
      <c r="I9">
        <v>1.8998489999999999</v>
      </c>
      <c r="J9">
        <v>19.134599999999999</v>
      </c>
      <c r="K9">
        <v>276.53460000000001</v>
      </c>
      <c r="L9">
        <v>355.9144</v>
      </c>
    </row>
    <row r="10" spans="1:12" x14ac:dyDescent="0.2">
      <c r="A10" s="1">
        <v>42972.635879629626</v>
      </c>
      <c r="B10">
        <v>1395.3969999999999</v>
      </c>
      <c r="C10">
        <v>2</v>
      </c>
      <c r="D10" t="s">
        <v>36</v>
      </c>
      <c r="E10" t="s">
        <v>3</v>
      </c>
      <c r="F10" t="s">
        <v>4</v>
      </c>
      <c r="G10">
        <v>3.9803959999999998</v>
      </c>
      <c r="H10">
        <v>1.6</v>
      </c>
      <c r="I10">
        <v>2.388585E-2</v>
      </c>
      <c r="J10">
        <v>13.993370000000001</v>
      </c>
      <c r="K10">
        <v>76.073520000000002</v>
      </c>
      <c r="L10">
        <v>354.09780000000001</v>
      </c>
    </row>
    <row r="11" spans="1:12" x14ac:dyDescent="0.2">
      <c r="A11" s="1">
        <v>42972.63590277778</v>
      </c>
      <c r="B11">
        <v>1397.2719999999999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1.6</v>
      </c>
      <c r="I11">
        <v>4.1399999999999997</v>
      </c>
      <c r="J11">
        <v>15.654389999999999</v>
      </c>
      <c r="K11">
        <v>71.130780000000001</v>
      </c>
      <c r="L11">
        <v>353.35039999999998</v>
      </c>
    </row>
    <row r="12" spans="1:12" x14ac:dyDescent="0.2">
      <c r="A12" s="1">
        <v>42972.635995370372</v>
      </c>
      <c r="B12">
        <v>1405.674</v>
      </c>
      <c r="C12">
        <v>3</v>
      </c>
      <c r="D12" t="s">
        <v>35</v>
      </c>
      <c r="E12" t="s">
        <v>1</v>
      </c>
      <c r="F12" t="s">
        <v>5</v>
      </c>
      <c r="G12">
        <v>-4.0659640000000001</v>
      </c>
      <c r="H12">
        <v>1.6</v>
      </c>
      <c r="I12">
        <v>4.1324990000000001</v>
      </c>
      <c r="J12">
        <v>20.541830000000001</v>
      </c>
      <c r="K12">
        <v>6.3768560000000001</v>
      </c>
      <c r="L12">
        <v>353.37720000000002</v>
      </c>
    </row>
    <row r="13" spans="1:12" x14ac:dyDescent="0.2">
      <c r="A13" s="1">
        <v>42972.636087962965</v>
      </c>
      <c r="B13">
        <v>1413.6410000000001</v>
      </c>
      <c r="C13">
        <v>3</v>
      </c>
      <c r="D13" t="s">
        <v>36</v>
      </c>
      <c r="E13" t="s">
        <v>1</v>
      </c>
      <c r="F13" t="s">
        <v>5</v>
      </c>
      <c r="G13">
        <v>-2.4128699999999998</v>
      </c>
      <c r="H13">
        <v>1.6</v>
      </c>
      <c r="I13">
        <v>0.81119870000000005</v>
      </c>
      <c r="J13">
        <v>18.134440000000001</v>
      </c>
      <c r="K13">
        <v>65.421589999999995</v>
      </c>
      <c r="L13">
        <v>350.4794</v>
      </c>
    </row>
    <row r="14" spans="1:12" x14ac:dyDescent="0.2">
      <c r="A14" s="1">
        <v>42972.636111111111</v>
      </c>
      <c r="B14">
        <v>1415.348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1.6</v>
      </c>
      <c r="I14">
        <v>-0.67300000000000004</v>
      </c>
      <c r="J14">
        <v>20.87698</v>
      </c>
      <c r="K14">
        <v>64.764960000000002</v>
      </c>
      <c r="L14">
        <v>350.90940000000001</v>
      </c>
    </row>
    <row r="15" spans="1:12" x14ac:dyDescent="0.2">
      <c r="A15" s="1">
        <v>42972.636180555557</v>
      </c>
      <c r="B15">
        <v>1421.624</v>
      </c>
      <c r="C15">
        <v>4</v>
      </c>
      <c r="D15" t="s">
        <v>35</v>
      </c>
      <c r="E15" t="s">
        <v>4</v>
      </c>
      <c r="F15" t="s">
        <v>6</v>
      </c>
      <c r="G15">
        <v>3.8667419999999999</v>
      </c>
      <c r="H15">
        <v>1.6</v>
      </c>
      <c r="I15">
        <v>-0.66869120000000004</v>
      </c>
      <c r="J15">
        <v>23.472339999999999</v>
      </c>
      <c r="K15">
        <v>183.30850000000001</v>
      </c>
      <c r="L15">
        <v>356.34840000000003</v>
      </c>
    </row>
    <row r="16" spans="1:12" x14ac:dyDescent="0.2">
      <c r="A16" s="1">
        <v>42972.636284722219</v>
      </c>
      <c r="B16">
        <v>1430.8119999999999</v>
      </c>
      <c r="C16">
        <v>4</v>
      </c>
      <c r="D16" t="s">
        <v>36</v>
      </c>
      <c r="E16" t="s">
        <v>4</v>
      </c>
      <c r="F16" t="s">
        <v>6</v>
      </c>
      <c r="G16">
        <v>3.6566130000000001</v>
      </c>
      <c r="H16">
        <v>1.6</v>
      </c>
      <c r="I16">
        <v>5.1645979999999998</v>
      </c>
      <c r="J16">
        <v>15.851610000000001</v>
      </c>
      <c r="K16">
        <v>271.11200000000002</v>
      </c>
      <c r="L16">
        <v>354.6044</v>
      </c>
    </row>
    <row r="17" spans="1:12" x14ac:dyDescent="0.2">
      <c r="A17" s="1">
        <v>42972.636296296296</v>
      </c>
      <c r="B17">
        <v>1431.867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1.6</v>
      </c>
      <c r="I17">
        <v>-4.117</v>
      </c>
      <c r="J17">
        <v>18.474689999999999</v>
      </c>
      <c r="K17">
        <v>269.03890000000001</v>
      </c>
      <c r="L17">
        <v>353.43220000000002</v>
      </c>
    </row>
    <row r="18" spans="1:12" x14ac:dyDescent="0.2">
      <c r="A18" s="1">
        <v>42972.636354166665</v>
      </c>
      <c r="B18">
        <v>1436.3689999999999</v>
      </c>
      <c r="C18">
        <v>5</v>
      </c>
      <c r="D18" t="s">
        <v>35</v>
      </c>
      <c r="E18" t="s">
        <v>0</v>
      </c>
      <c r="F18" t="s">
        <v>1</v>
      </c>
      <c r="G18">
        <v>-0.75841899999999995</v>
      </c>
      <c r="H18">
        <v>1.6</v>
      </c>
      <c r="I18">
        <v>-4.1333019999999996</v>
      </c>
      <c r="J18">
        <v>19.61814</v>
      </c>
      <c r="K18">
        <v>5.6049709999999999</v>
      </c>
      <c r="L18">
        <v>351.65320000000003</v>
      </c>
    </row>
    <row r="19" spans="1:12" x14ac:dyDescent="0.2">
      <c r="A19" s="1">
        <v>42972.636481481481</v>
      </c>
      <c r="B19">
        <v>1447.7819999999999</v>
      </c>
      <c r="C19">
        <v>5</v>
      </c>
      <c r="D19" t="s">
        <v>36</v>
      </c>
      <c r="E19" t="s">
        <v>0</v>
      </c>
      <c r="F19" t="s">
        <v>1</v>
      </c>
      <c r="G19">
        <v>-0.40356239999999999</v>
      </c>
      <c r="H19">
        <v>1.6</v>
      </c>
      <c r="I19">
        <v>1.474702</v>
      </c>
      <c r="J19">
        <v>14.067830000000001</v>
      </c>
      <c r="K19">
        <v>277.42689999999999</v>
      </c>
      <c r="L19">
        <v>354.31420000000003</v>
      </c>
    </row>
    <row r="20" spans="1:12" x14ac:dyDescent="0.2">
      <c r="A20" s="1">
        <v>42972.636516203704</v>
      </c>
      <c r="B20">
        <v>1450.578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1.6</v>
      </c>
      <c r="I20">
        <v>-1.4059999999999999</v>
      </c>
      <c r="J20">
        <v>15.92709</v>
      </c>
      <c r="K20">
        <v>274.93689999999998</v>
      </c>
      <c r="L20">
        <v>352.8245</v>
      </c>
    </row>
    <row r="21" spans="1:12" x14ac:dyDescent="0.2">
      <c r="A21" s="1">
        <v>42972.636550925927</v>
      </c>
      <c r="B21">
        <v>1453.607</v>
      </c>
      <c r="C21">
        <v>6</v>
      </c>
      <c r="D21" t="s">
        <v>35</v>
      </c>
      <c r="E21" t="s">
        <v>33</v>
      </c>
      <c r="F21" t="s">
        <v>3</v>
      </c>
      <c r="G21">
        <v>-3.9809999999999999</v>
      </c>
      <c r="H21">
        <v>1.6</v>
      </c>
      <c r="I21">
        <v>-1.4059999999999999</v>
      </c>
      <c r="J21">
        <v>22.669969999999999</v>
      </c>
      <c r="K21">
        <v>355.16879999999998</v>
      </c>
      <c r="L21">
        <v>356.37200000000001</v>
      </c>
    </row>
    <row r="22" spans="1:12" x14ac:dyDescent="0.2">
      <c r="A22" s="1">
        <v>42972.636701388888</v>
      </c>
      <c r="B22">
        <v>1466.711</v>
      </c>
      <c r="C22">
        <v>6</v>
      </c>
      <c r="D22" t="s">
        <v>36</v>
      </c>
      <c r="E22" t="s">
        <v>33</v>
      </c>
      <c r="F22" t="s">
        <v>3</v>
      </c>
      <c r="G22">
        <v>-2.7821030000000002</v>
      </c>
      <c r="H22">
        <v>1.6</v>
      </c>
      <c r="I22">
        <v>-7.7289659999999998</v>
      </c>
      <c r="J22">
        <v>13.838900000000001</v>
      </c>
      <c r="K22">
        <v>72.309299999999993</v>
      </c>
      <c r="L22">
        <v>354.89589999999998</v>
      </c>
    </row>
    <row r="23" spans="1:12" x14ac:dyDescent="0.2">
      <c r="A23" s="1">
        <v>42972.636712962965</v>
      </c>
      <c r="B23">
        <v>1468.184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1.6</v>
      </c>
      <c r="I23">
        <v>4.1399999999999997</v>
      </c>
      <c r="J23">
        <v>15.214219999999999</v>
      </c>
      <c r="K23">
        <v>68.354669999999999</v>
      </c>
      <c r="L23">
        <v>350.5455</v>
      </c>
    </row>
    <row r="24" spans="1:12" x14ac:dyDescent="0.2">
      <c r="A24" s="1">
        <v>42972.636770833335</v>
      </c>
      <c r="B24">
        <v>1472.636</v>
      </c>
      <c r="C24">
        <v>7</v>
      </c>
      <c r="D24" t="s">
        <v>35</v>
      </c>
      <c r="E24" t="s">
        <v>1</v>
      </c>
      <c r="F24" t="s">
        <v>5</v>
      </c>
      <c r="G24">
        <v>-4.0789999999999997</v>
      </c>
      <c r="H24">
        <v>1.6</v>
      </c>
      <c r="I24">
        <v>4.1399999999999997</v>
      </c>
      <c r="J24">
        <v>19.445810000000002</v>
      </c>
      <c r="K24">
        <v>21.383189999999999</v>
      </c>
      <c r="L24">
        <v>351.5539</v>
      </c>
    </row>
    <row r="25" spans="1:12" x14ac:dyDescent="0.2">
      <c r="A25" s="1">
        <v>42972.636863425927</v>
      </c>
      <c r="B25">
        <v>1480.77</v>
      </c>
      <c r="C25">
        <v>7</v>
      </c>
      <c r="D25" t="s">
        <v>36</v>
      </c>
      <c r="E25" t="s">
        <v>1</v>
      </c>
      <c r="F25" t="s">
        <v>5</v>
      </c>
      <c r="G25">
        <v>-1.86256</v>
      </c>
      <c r="H25">
        <v>1.6</v>
      </c>
      <c r="I25">
        <v>2.426218</v>
      </c>
      <c r="J25">
        <v>14.76491</v>
      </c>
      <c r="K25">
        <v>38.198909999999998</v>
      </c>
      <c r="L25">
        <v>351.16629999999998</v>
      </c>
    </row>
    <row r="26" spans="1:12" x14ac:dyDescent="0.2">
      <c r="A26" s="1">
        <v>42972.636874999997</v>
      </c>
      <c r="B26">
        <v>1482.1590000000001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1.6</v>
      </c>
      <c r="I26">
        <v>-4.3440000000000003</v>
      </c>
      <c r="J26">
        <v>17.960059999999999</v>
      </c>
      <c r="K26">
        <v>38.986199999999997</v>
      </c>
      <c r="L26">
        <v>350.017</v>
      </c>
    </row>
    <row r="27" spans="1:12" x14ac:dyDescent="0.2">
      <c r="A27" s="1">
        <v>42972.63689814815</v>
      </c>
      <c r="B27">
        <v>1484.0170000000001</v>
      </c>
      <c r="C27">
        <v>8</v>
      </c>
      <c r="D27" t="s">
        <v>35</v>
      </c>
      <c r="E27" t="s">
        <v>2</v>
      </c>
      <c r="F27" t="s">
        <v>0</v>
      </c>
      <c r="G27">
        <v>3.547526</v>
      </c>
      <c r="H27">
        <v>1.6</v>
      </c>
      <c r="I27">
        <v>-4.3410469999999997</v>
      </c>
      <c r="J27">
        <v>14.09451</v>
      </c>
      <c r="K27">
        <v>356.35969999999998</v>
      </c>
      <c r="L27">
        <v>353.005</v>
      </c>
    </row>
    <row r="28" spans="1:12" x14ac:dyDescent="0.2">
      <c r="A28" s="1">
        <v>42972.637025462966</v>
      </c>
      <c r="B28">
        <v>1494.595</v>
      </c>
      <c r="C28">
        <v>8</v>
      </c>
      <c r="D28" t="s">
        <v>36</v>
      </c>
      <c r="E28" t="s">
        <v>2</v>
      </c>
      <c r="F28" t="s">
        <v>0</v>
      </c>
      <c r="G28">
        <v>-0.82095499999999999</v>
      </c>
      <c r="H28">
        <v>1.6</v>
      </c>
      <c r="I28">
        <v>-2.927851</v>
      </c>
      <c r="J28">
        <v>15.807980000000001</v>
      </c>
      <c r="K28">
        <v>188.8674</v>
      </c>
      <c r="L28">
        <v>354.57409999999999</v>
      </c>
    </row>
    <row r="29" spans="1:12" x14ac:dyDescent="0.2">
      <c r="A29" s="1">
        <v>42972.637037037035</v>
      </c>
      <c r="B29">
        <v>1495.7660000000001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1.6</v>
      </c>
      <c r="I29">
        <v>-1.4059999999999999</v>
      </c>
      <c r="J29">
        <v>15.40713</v>
      </c>
      <c r="K29">
        <v>189.33920000000001</v>
      </c>
      <c r="L29">
        <v>354.07279999999997</v>
      </c>
    </row>
    <row r="30" spans="1:12" x14ac:dyDescent="0.2">
      <c r="A30" s="1">
        <v>42972.637083333335</v>
      </c>
      <c r="B30">
        <v>1499.8330000000001</v>
      </c>
      <c r="C30">
        <v>9</v>
      </c>
      <c r="D30" t="s">
        <v>35</v>
      </c>
      <c r="E30" t="s">
        <v>33</v>
      </c>
      <c r="F30" t="s">
        <v>3</v>
      </c>
      <c r="G30">
        <v>-4.0213739999999998</v>
      </c>
      <c r="H30">
        <v>1.6</v>
      </c>
      <c r="I30">
        <v>-1.4542010000000001</v>
      </c>
      <c r="J30">
        <v>17.175139999999999</v>
      </c>
      <c r="K30">
        <v>127.35039999999999</v>
      </c>
      <c r="L30">
        <v>348.4735</v>
      </c>
    </row>
    <row r="31" spans="1:12" x14ac:dyDescent="0.2">
      <c r="A31" s="1">
        <v>42972.63722222222</v>
      </c>
      <c r="B31">
        <v>1511.884</v>
      </c>
      <c r="C31">
        <v>9</v>
      </c>
      <c r="D31" t="s">
        <v>36</v>
      </c>
      <c r="E31" t="s">
        <v>33</v>
      </c>
      <c r="F31" t="s">
        <v>3</v>
      </c>
      <c r="G31">
        <v>2.6638829999999998</v>
      </c>
      <c r="H31">
        <v>1.6</v>
      </c>
      <c r="I31">
        <v>2.4702099999999998</v>
      </c>
      <c r="J31">
        <v>12.6671</v>
      </c>
      <c r="K31">
        <v>335.65030000000002</v>
      </c>
      <c r="L31">
        <v>351.27229999999997</v>
      </c>
    </row>
    <row r="32" spans="1:12" x14ac:dyDescent="0.2">
      <c r="A32" s="1">
        <v>42972.637233796297</v>
      </c>
      <c r="B32">
        <v>1513.29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1.6</v>
      </c>
      <c r="I32">
        <v>2.7240000000000002</v>
      </c>
      <c r="J32">
        <v>14.42301</v>
      </c>
      <c r="K32">
        <v>335.09429999999998</v>
      </c>
      <c r="L32">
        <v>350.41809999999998</v>
      </c>
    </row>
    <row r="33" spans="1:12" x14ac:dyDescent="0.2">
      <c r="A33" s="1">
        <v>42972.637314814812</v>
      </c>
      <c r="B33">
        <v>1519.8</v>
      </c>
      <c r="C33">
        <v>10</v>
      </c>
      <c r="D33" t="s">
        <v>35</v>
      </c>
      <c r="E33" t="s">
        <v>5</v>
      </c>
      <c r="F33" t="s">
        <v>2</v>
      </c>
      <c r="G33">
        <v>2.093099E-2</v>
      </c>
      <c r="H33">
        <v>1.6</v>
      </c>
      <c r="I33">
        <v>2.723068</v>
      </c>
      <c r="J33">
        <v>15.06387</v>
      </c>
      <c r="K33">
        <v>1.824932</v>
      </c>
      <c r="L33">
        <v>350.70549999999997</v>
      </c>
    </row>
    <row r="34" spans="1:12" x14ac:dyDescent="0.2">
      <c r="A34" s="1">
        <v>42972.637407407405</v>
      </c>
      <c r="B34">
        <v>1527.817</v>
      </c>
      <c r="C34">
        <v>10</v>
      </c>
      <c r="D34" t="s">
        <v>36</v>
      </c>
      <c r="E34" t="s">
        <v>5</v>
      </c>
      <c r="F34" t="s">
        <v>2</v>
      </c>
      <c r="G34">
        <v>0.58893260000000003</v>
      </c>
      <c r="H34">
        <v>1.6</v>
      </c>
      <c r="I34">
        <v>-1.20835</v>
      </c>
      <c r="J34">
        <v>22.53424</v>
      </c>
      <c r="K34">
        <v>69.139169999999993</v>
      </c>
      <c r="L34">
        <v>348.75970000000001</v>
      </c>
    </row>
    <row r="35" spans="1:12" x14ac:dyDescent="0.2">
      <c r="A35" s="1">
        <v>42972.637418981481</v>
      </c>
      <c r="B35">
        <v>1528.8209999999999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1.6</v>
      </c>
      <c r="I35">
        <v>-4.117</v>
      </c>
      <c r="J35">
        <v>21.038720000000001</v>
      </c>
      <c r="K35">
        <v>75.917860000000005</v>
      </c>
      <c r="L35">
        <v>348.74549999999999</v>
      </c>
    </row>
    <row r="36" spans="1:12" x14ac:dyDescent="0.2">
      <c r="A36" s="1">
        <v>42972.637465277781</v>
      </c>
      <c r="B36">
        <v>1533.2560000000001</v>
      </c>
      <c r="C36">
        <v>11</v>
      </c>
      <c r="D36" t="s">
        <v>35</v>
      </c>
      <c r="E36" t="s">
        <v>0</v>
      </c>
      <c r="F36" t="s">
        <v>1</v>
      </c>
      <c r="G36">
        <v>-0.84504389999999996</v>
      </c>
      <c r="H36">
        <v>1.6</v>
      </c>
      <c r="I36">
        <v>-4.1177820000000001</v>
      </c>
      <c r="J36">
        <v>15.25534</v>
      </c>
      <c r="K36">
        <v>8.4949929999999991</v>
      </c>
      <c r="L36">
        <v>351.94889999999998</v>
      </c>
    </row>
    <row r="37" spans="1:12" x14ac:dyDescent="0.2">
      <c r="A37" s="1">
        <v>42972.637569444443</v>
      </c>
      <c r="B37">
        <v>1541.9929999999999</v>
      </c>
      <c r="C37">
        <v>11</v>
      </c>
      <c r="D37" t="s">
        <v>36</v>
      </c>
      <c r="E37" t="s">
        <v>0</v>
      </c>
      <c r="F37" t="s">
        <v>1</v>
      </c>
      <c r="G37">
        <v>-0.59749920000000001</v>
      </c>
      <c r="H37">
        <v>1.6</v>
      </c>
      <c r="I37">
        <v>1.832352</v>
      </c>
      <c r="J37">
        <v>16.818660000000001</v>
      </c>
      <c r="K37">
        <v>269.5677</v>
      </c>
      <c r="L37">
        <v>350.56959999999998</v>
      </c>
    </row>
    <row r="38" spans="1:12" x14ac:dyDescent="0.2">
      <c r="A38" s="1">
        <v>42972.63758101852</v>
      </c>
      <c r="B38">
        <v>1543.232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1.6</v>
      </c>
      <c r="I38">
        <v>1.8169999999999999</v>
      </c>
      <c r="J38">
        <v>18.160139999999998</v>
      </c>
      <c r="K38">
        <v>274.60410000000002</v>
      </c>
      <c r="L38">
        <v>349.40120000000002</v>
      </c>
    </row>
    <row r="39" spans="1:12" x14ac:dyDescent="0.2">
      <c r="A39" s="1">
        <v>42972.637627314813</v>
      </c>
      <c r="B39">
        <v>1546.78</v>
      </c>
      <c r="C39">
        <v>12</v>
      </c>
      <c r="D39" t="s">
        <v>35</v>
      </c>
      <c r="E39" t="s">
        <v>3</v>
      </c>
      <c r="F39" t="s">
        <v>4</v>
      </c>
      <c r="G39">
        <v>3.3730000000000002</v>
      </c>
      <c r="H39">
        <v>1.6</v>
      </c>
      <c r="I39">
        <v>1.8169999999999999</v>
      </c>
      <c r="J39">
        <v>20.851800000000001</v>
      </c>
      <c r="K39">
        <v>272.12700000000001</v>
      </c>
      <c r="L39">
        <v>350.07650000000001</v>
      </c>
    </row>
    <row r="40" spans="1:12" x14ac:dyDescent="0.2">
      <c r="A40" s="1">
        <v>42972.637731481482</v>
      </c>
      <c r="B40">
        <v>1555.751</v>
      </c>
      <c r="C40">
        <v>12</v>
      </c>
      <c r="D40" t="s">
        <v>36</v>
      </c>
      <c r="E40" t="s">
        <v>3</v>
      </c>
      <c r="F40" t="s">
        <v>4</v>
      </c>
      <c r="G40">
        <v>3.476925</v>
      </c>
      <c r="H40">
        <v>1.6</v>
      </c>
      <c r="I40">
        <v>-0.25849850000000002</v>
      </c>
      <c r="J40">
        <v>18.323920000000001</v>
      </c>
      <c r="K40">
        <v>80.583920000000006</v>
      </c>
      <c r="L40">
        <v>351.50470000000001</v>
      </c>
    </row>
    <row r="41" spans="1:12" x14ac:dyDescent="0.2">
      <c r="A41" s="1">
        <v>42972.637743055559</v>
      </c>
      <c r="B41">
        <v>1556.973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1.6</v>
      </c>
      <c r="I41">
        <v>-1.4059999999999999</v>
      </c>
      <c r="J41">
        <v>18.649170000000002</v>
      </c>
      <c r="K41">
        <v>79.970259999999996</v>
      </c>
      <c r="L41">
        <v>351.2715</v>
      </c>
    </row>
    <row r="42" spans="1:12" x14ac:dyDescent="0.2">
      <c r="A42" s="1">
        <v>42972.637789351851</v>
      </c>
      <c r="B42">
        <v>1560.6210000000001</v>
      </c>
      <c r="C42">
        <v>13</v>
      </c>
      <c r="D42" t="s">
        <v>35</v>
      </c>
      <c r="E42" t="s">
        <v>33</v>
      </c>
      <c r="F42" t="s">
        <v>3</v>
      </c>
      <c r="G42">
        <v>-3.9778509999999998</v>
      </c>
      <c r="H42">
        <v>1.6</v>
      </c>
      <c r="I42">
        <v>-1.4096789999999999</v>
      </c>
      <c r="J42">
        <v>22.541540000000001</v>
      </c>
      <c r="K42">
        <v>3.5382829999999998</v>
      </c>
      <c r="L42">
        <v>354.47410000000002</v>
      </c>
    </row>
    <row r="43" spans="1:12" x14ac:dyDescent="0.2">
      <c r="A43" s="1">
        <v>42972.637916666667</v>
      </c>
      <c r="B43">
        <v>1571.9849999999999</v>
      </c>
      <c r="C43">
        <v>13</v>
      </c>
      <c r="D43" t="s">
        <v>36</v>
      </c>
      <c r="E43" t="s">
        <v>33</v>
      </c>
      <c r="F43" t="s">
        <v>3</v>
      </c>
      <c r="G43">
        <v>-3.1125409999999998</v>
      </c>
      <c r="H43">
        <v>1.6</v>
      </c>
      <c r="I43">
        <v>-8.6482060000000001</v>
      </c>
      <c r="J43">
        <v>15.09507</v>
      </c>
      <c r="K43">
        <v>70.606440000000006</v>
      </c>
      <c r="L43">
        <v>354.5881</v>
      </c>
    </row>
    <row r="44" spans="1:12" x14ac:dyDescent="0.2">
      <c r="A44" s="1">
        <v>42972.637928240743</v>
      </c>
      <c r="B44">
        <v>1573.307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1.6</v>
      </c>
      <c r="I44">
        <v>2.7240000000000002</v>
      </c>
      <c r="J44">
        <v>14.177680000000001</v>
      </c>
      <c r="K44">
        <v>71.235119999999995</v>
      </c>
      <c r="L44">
        <v>353.91390000000001</v>
      </c>
    </row>
    <row r="45" spans="1:12" x14ac:dyDescent="0.2">
      <c r="A45" s="1">
        <v>42972.637997685182</v>
      </c>
      <c r="B45">
        <v>1578.663</v>
      </c>
      <c r="C45">
        <v>14</v>
      </c>
      <c r="D45" t="s">
        <v>35</v>
      </c>
      <c r="E45" t="s">
        <v>5</v>
      </c>
      <c r="F45" t="s">
        <v>2</v>
      </c>
      <c r="G45">
        <v>0.1487282</v>
      </c>
      <c r="H45">
        <v>1.6</v>
      </c>
      <c r="I45">
        <v>2.7229049999999999</v>
      </c>
      <c r="J45">
        <v>15.800380000000001</v>
      </c>
      <c r="K45">
        <v>6.5209210000000004</v>
      </c>
      <c r="L45">
        <v>354.7654</v>
      </c>
    </row>
    <row r="46" spans="1:12" x14ac:dyDescent="0.2">
      <c r="A46" s="1">
        <v>42972.638101851851</v>
      </c>
      <c r="B46">
        <v>1587.8019999999999</v>
      </c>
      <c r="C46">
        <v>14</v>
      </c>
      <c r="D46" t="s">
        <v>36</v>
      </c>
      <c r="E46" t="s">
        <v>5</v>
      </c>
      <c r="F46" t="s">
        <v>2</v>
      </c>
      <c r="G46">
        <v>1.5288379999999999</v>
      </c>
      <c r="H46">
        <v>1.6</v>
      </c>
      <c r="I46">
        <v>-3.09626</v>
      </c>
      <c r="J46">
        <v>14.19233</v>
      </c>
      <c r="K46">
        <v>61.741329999999998</v>
      </c>
      <c r="L46">
        <v>354.31259999999997</v>
      </c>
    </row>
    <row r="47" spans="1:12" x14ac:dyDescent="0.2">
      <c r="A47" s="1">
        <v>42972.638113425928</v>
      </c>
      <c r="B47">
        <v>1589.0070000000001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1.6</v>
      </c>
      <c r="I47">
        <v>0.09</v>
      </c>
      <c r="J47">
        <v>14.02337</v>
      </c>
      <c r="K47">
        <v>60.32188</v>
      </c>
      <c r="L47">
        <v>353.99160000000001</v>
      </c>
    </row>
    <row r="48" spans="1:12" x14ac:dyDescent="0.2">
      <c r="A48" s="1">
        <v>42972.638194444444</v>
      </c>
      <c r="B48">
        <v>1595.2670000000001</v>
      </c>
      <c r="C48">
        <v>15</v>
      </c>
      <c r="D48" t="s">
        <v>35</v>
      </c>
      <c r="E48" t="s">
        <v>6</v>
      </c>
      <c r="F48" t="s">
        <v>33</v>
      </c>
      <c r="G48">
        <v>-4.0796849999999996</v>
      </c>
      <c r="H48">
        <v>1.6</v>
      </c>
      <c r="I48">
        <v>8.6173920000000001E-2</v>
      </c>
      <c r="J48">
        <v>15.952389999999999</v>
      </c>
      <c r="K48">
        <v>1.4283669999999999</v>
      </c>
      <c r="L48">
        <v>352.89710000000002</v>
      </c>
    </row>
    <row r="49" spans="1:12" x14ac:dyDescent="0.2">
      <c r="A49" s="1">
        <v>42972.638310185182</v>
      </c>
      <c r="B49">
        <v>1605.9290000000001</v>
      </c>
      <c r="C49">
        <v>15</v>
      </c>
      <c r="D49" t="s">
        <v>36</v>
      </c>
      <c r="E49" t="s">
        <v>6</v>
      </c>
      <c r="F49" t="s">
        <v>33</v>
      </c>
      <c r="G49">
        <v>-9.1909379999999992</v>
      </c>
      <c r="H49">
        <v>1.6</v>
      </c>
      <c r="I49">
        <v>-1.9872570000000001</v>
      </c>
      <c r="J49">
        <v>14.73034</v>
      </c>
      <c r="K49">
        <v>154.1996</v>
      </c>
      <c r="L49">
        <v>353.39699999999999</v>
      </c>
    </row>
    <row r="50" spans="1:12" x14ac:dyDescent="0.2">
      <c r="A50" s="1">
        <v>42972.638321759259</v>
      </c>
      <c r="B50">
        <v>1607.0329999999999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1.6</v>
      </c>
      <c r="I50">
        <v>-0.67300000000000004</v>
      </c>
      <c r="J50">
        <v>16.073119999999999</v>
      </c>
      <c r="K50">
        <v>151.8075</v>
      </c>
      <c r="L50">
        <v>352.8974</v>
      </c>
    </row>
    <row r="51" spans="1:12" x14ac:dyDescent="0.2">
      <c r="A51" s="1">
        <v>42972.638356481482</v>
      </c>
      <c r="B51">
        <v>1609.393</v>
      </c>
      <c r="C51">
        <v>16</v>
      </c>
      <c r="D51" t="s">
        <v>35</v>
      </c>
      <c r="E51" t="s">
        <v>4</v>
      </c>
      <c r="F51" t="s">
        <v>6</v>
      </c>
      <c r="G51">
        <v>3.9077060000000001</v>
      </c>
      <c r="H51">
        <v>1.6</v>
      </c>
      <c r="I51">
        <v>-0.67178130000000003</v>
      </c>
      <c r="J51">
        <v>28.933979999999998</v>
      </c>
      <c r="K51">
        <v>187.52090000000001</v>
      </c>
      <c r="L51">
        <v>350.22750000000002</v>
      </c>
    </row>
    <row r="52" spans="1:12" x14ac:dyDescent="0.2">
      <c r="A52" s="1">
        <v>42972.638483796298</v>
      </c>
      <c r="B52">
        <v>1620.39</v>
      </c>
      <c r="C52">
        <v>16</v>
      </c>
      <c r="D52" t="s">
        <v>36</v>
      </c>
      <c r="E52" t="s">
        <v>4</v>
      </c>
      <c r="F52" t="s">
        <v>6</v>
      </c>
      <c r="G52">
        <v>3.729517</v>
      </c>
      <c r="H52">
        <v>1.6</v>
      </c>
      <c r="I52">
        <v>4.6427579999999997</v>
      </c>
      <c r="J52">
        <v>16.95055</v>
      </c>
      <c r="K52">
        <v>265.94299999999998</v>
      </c>
      <c r="L52">
        <v>354.09350000000001</v>
      </c>
    </row>
    <row r="53" spans="1:12" x14ac:dyDescent="0.2">
      <c r="A53" s="1">
        <v>42972.638495370367</v>
      </c>
      <c r="B53">
        <v>1621.729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1.6</v>
      </c>
      <c r="I53">
        <v>1.8169999999999999</v>
      </c>
      <c r="J53">
        <v>17.462219999999999</v>
      </c>
      <c r="K53">
        <v>263.9554</v>
      </c>
      <c r="L53">
        <v>350.25810000000001</v>
      </c>
    </row>
    <row r="54" spans="1:12" x14ac:dyDescent="0.2">
      <c r="A54" s="1">
        <v>42972.638564814813</v>
      </c>
      <c r="B54">
        <v>1628.038</v>
      </c>
      <c r="C54">
        <v>17</v>
      </c>
      <c r="D54" t="s">
        <v>35</v>
      </c>
      <c r="E54" t="s">
        <v>3</v>
      </c>
      <c r="F54" t="s">
        <v>4</v>
      </c>
      <c r="G54">
        <v>3.3730000000000002</v>
      </c>
      <c r="H54">
        <v>1.6</v>
      </c>
      <c r="I54">
        <v>1.8169999999999999</v>
      </c>
      <c r="J54">
        <v>21.46142</v>
      </c>
      <c r="K54">
        <v>268.18950000000001</v>
      </c>
      <c r="L54">
        <v>354.08949999999999</v>
      </c>
    </row>
    <row r="55" spans="1:12" x14ac:dyDescent="0.2">
      <c r="A55" s="1">
        <v>42972.638657407406</v>
      </c>
      <c r="B55">
        <v>1635.3689999999999</v>
      </c>
      <c r="C55">
        <v>17</v>
      </c>
      <c r="D55" t="s">
        <v>36</v>
      </c>
      <c r="E55" t="s">
        <v>3</v>
      </c>
      <c r="F55" t="s">
        <v>4</v>
      </c>
      <c r="G55">
        <v>4.8180399999999999</v>
      </c>
      <c r="H55">
        <v>1.6</v>
      </c>
      <c r="I55">
        <v>0.17394580000000001</v>
      </c>
      <c r="J55">
        <v>19.586649999999999</v>
      </c>
      <c r="K55">
        <v>50.045209999999997</v>
      </c>
      <c r="L55">
        <v>355.96069999999997</v>
      </c>
    </row>
    <row r="56" spans="1:12" x14ac:dyDescent="0.2">
      <c r="A56" s="1">
        <v>42972.638668981483</v>
      </c>
      <c r="B56">
        <v>1636.8579999999999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1.6</v>
      </c>
      <c r="I56">
        <v>-4.3440000000000003</v>
      </c>
      <c r="J56">
        <v>18.855540000000001</v>
      </c>
      <c r="K56">
        <v>52.153950000000002</v>
      </c>
      <c r="L56">
        <v>355.20800000000003</v>
      </c>
    </row>
    <row r="57" spans="1:12" x14ac:dyDescent="0.2">
      <c r="A57" s="1">
        <v>42972.638692129629</v>
      </c>
      <c r="B57">
        <v>1638.482</v>
      </c>
      <c r="C57">
        <v>18</v>
      </c>
      <c r="D57" t="s">
        <v>35</v>
      </c>
      <c r="E57" t="s">
        <v>2</v>
      </c>
      <c r="F57" t="s">
        <v>0</v>
      </c>
      <c r="G57">
        <v>3.516</v>
      </c>
      <c r="H57">
        <v>1.6</v>
      </c>
      <c r="I57">
        <v>-4.3440000000000003</v>
      </c>
      <c r="J57">
        <v>17.409369999999999</v>
      </c>
      <c r="K57">
        <v>358.78699999999998</v>
      </c>
      <c r="L57">
        <v>353.96300000000002</v>
      </c>
    </row>
    <row r="58" spans="1:12" x14ac:dyDescent="0.2">
      <c r="A58" s="1">
        <v>42972.638784722221</v>
      </c>
      <c r="B58">
        <v>1646.7660000000001</v>
      </c>
      <c r="C58">
        <v>18</v>
      </c>
      <c r="D58" t="s">
        <v>36</v>
      </c>
      <c r="E58" t="s">
        <v>2</v>
      </c>
      <c r="F58" t="s">
        <v>0</v>
      </c>
      <c r="G58">
        <v>-0.29040690000000002</v>
      </c>
      <c r="H58">
        <v>1.6</v>
      </c>
      <c r="I58">
        <v>-2.91459</v>
      </c>
      <c r="J58">
        <v>17.383500000000002</v>
      </c>
      <c r="K58">
        <v>198.14840000000001</v>
      </c>
      <c r="L58">
        <v>356.11590000000001</v>
      </c>
    </row>
    <row r="59" spans="1:12" x14ac:dyDescent="0.2">
      <c r="A59" s="1">
        <v>42972.638796296298</v>
      </c>
      <c r="B59">
        <v>1647.954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1.6</v>
      </c>
      <c r="I59">
        <v>-0.67300000000000004</v>
      </c>
      <c r="J59">
        <v>16.63101</v>
      </c>
      <c r="K59">
        <v>196.25739999999999</v>
      </c>
      <c r="L59">
        <v>355.13549999999998</v>
      </c>
    </row>
    <row r="60" spans="1:12" x14ac:dyDescent="0.2">
      <c r="A60" s="1">
        <v>42972.638807870368</v>
      </c>
      <c r="B60">
        <v>1649.2429999999999</v>
      </c>
      <c r="C60">
        <v>19</v>
      </c>
      <c r="D60" t="s">
        <v>35</v>
      </c>
      <c r="E60" t="s">
        <v>4</v>
      </c>
      <c r="F60" t="s">
        <v>6</v>
      </c>
      <c r="G60">
        <v>3.9180000000000001</v>
      </c>
      <c r="H60">
        <v>1.6</v>
      </c>
      <c r="I60">
        <v>-0.67300000000000004</v>
      </c>
      <c r="J60">
        <v>17.567679999999999</v>
      </c>
      <c r="K60">
        <v>190.88380000000001</v>
      </c>
      <c r="L60">
        <v>354.19810000000001</v>
      </c>
    </row>
    <row r="61" spans="1:12" x14ac:dyDescent="0.2">
      <c r="A61" s="1">
        <v>42972.638923611114</v>
      </c>
      <c r="B61">
        <v>1658.5160000000001</v>
      </c>
      <c r="C61">
        <v>19</v>
      </c>
      <c r="D61" t="s">
        <v>36</v>
      </c>
      <c r="E61" t="s">
        <v>4</v>
      </c>
      <c r="F61" t="s">
        <v>6</v>
      </c>
      <c r="G61">
        <v>5.400309</v>
      </c>
      <c r="H61">
        <v>1.6</v>
      </c>
      <c r="I61">
        <v>4.9471999999999996</v>
      </c>
      <c r="J61">
        <v>16.722270000000002</v>
      </c>
      <c r="K61">
        <v>287.40539999999999</v>
      </c>
      <c r="L61">
        <v>354.2346</v>
      </c>
    </row>
    <row r="62" spans="1:12" x14ac:dyDescent="0.2">
      <c r="A62" s="1">
        <v>42972.638935185183</v>
      </c>
      <c r="B62">
        <v>1659.8879999999999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1.6</v>
      </c>
      <c r="I62">
        <v>-1.4059999999999999</v>
      </c>
      <c r="J62">
        <v>17.363230000000001</v>
      </c>
      <c r="K62">
        <v>281.88729999999998</v>
      </c>
      <c r="L62">
        <v>354.20030000000003</v>
      </c>
    </row>
    <row r="63" spans="1:12" x14ac:dyDescent="0.2">
      <c r="A63" s="1">
        <v>42972.638969907406</v>
      </c>
      <c r="B63">
        <v>1662.867</v>
      </c>
      <c r="C63">
        <v>20</v>
      </c>
      <c r="D63" t="s">
        <v>35</v>
      </c>
      <c r="E63" t="s">
        <v>33</v>
      </c>
      <c r="F63" t="s">
        <v>3</v>
      </c>
      <c r="G63">
        <v>-3.979873</v>
      </c>
      <c r="H63">
        <v>1.6</v>
      </c>
      <c r="I63">
        <v>-1.401152</v>
      </c>
      <c r="J63">
        <v>20.192299999999999</v>
      </c>
      <c r="K63">
        <v>269.83100000000002</v>
      </c>
      <c r="L63">
        <v>347.30990000000003</v>
      </c>
    </row>
    <row r="64" spans="1:12" x14ac:dyDescent="0.2">
      <c r="A64" s="1">
        <v>42972.639131944445</v>
      </c>
      <c r="B64">
        <v>1676.625</v>
      </c>
      <c r="C64">
        <v>20</v>
      </c>
      <c r="D64" t="s">
        <v>36</v>
      </c>
      <c r="E64" t="s">
        <v>33</v>
      </c>
      <c r="F64" t="s">
        <v>3</v>
      </c>
      <c r="G64">
        <v>-6.8165259999999996</v>
      </c>
      <c r="H64">
        <v>1.6</v>
      </c>
      <c r="I64">
        <v>-6.7458869999999997</v>
      </c>
      <c r="J64">
        <v>25.632439999999999</v>
      </c>
      <c r="K64">
        <v>115.1431</v>
      </c>
      <c r="L64">
        <v>351.1934</v>
      </c>
    </row>
    <row r="65" spans="1:12" x14ac:dyDescent="0.2">
      <c r="A65" s="1">
        <v>42972.639155092591</v>
      </c>
      <c r="B65">
        <v>1678.6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1.6</v>
      </c>
      <c r="I65">
        <v>-4.117</v>
      </c>
      <c r="J65">
        <v>22.942920000000001</v>
      </c>
      <c r="K65">
        <v>114.2003</v>
      </c>
      <c r="L65">
        <v>349.26920000000001</v>
      </c>
    </row>
    <row r="66" spans="1:12" x14ac:dyDescent="0.2">
      <c r="A66" s="1">
        <v>42972.639201388891</v>
      </c>
      <c r="B66">
        <v>1682.55</v>
      </c>
      <c r="C66">
        <v>21</v>
      </c>
      <c r="D66" t="s">
        <v>35</v>
      </c>
      <c r="E66" t="s">
        <v>0</v>
      </c>
      <c r="F66" t="s">
        <v>1</v>
      </c>
      <c r="G66">
        <v>-0.85</v>
      </c>
      <c r="H66">
        <v>1.6</v>
      </c>
      <c r="I66">
        <v>-4.117</v>
      </c>
      <c r="J66">
        <v>15.686450000000001</v>
      </c>
      <c r="K66">
        <v>346.49930000000001</v>
      </c>
      <c r="L66">
        <v>353.67259999999999</v>
      </c>
    </row>
    <row r="67" spans="1:12" x14ac:dyDescent="0.2">
      <c r="A67" s="1">
        <v>42972.639317129629</v>
      </c>
      <c r="B67">
        <v>1693.278</v>
      </c>
      <c r="C67">
        <v>21</v>
      </c>
      <c r="D67" t="s">
        <v>36</v>
      </c>
      <c r="E67" t="s">
        <v>0</v>
      </c>
      <c r="F67" t="s">
        <v>1</v>
      </c>
      <c r="G67">
        <v>-2.2366069999999998</v>
      </c>
      <c r="H67">
        <v>1.6</v>
      </c>
      <c r="I67">
        <v>1.105723</v>
      </c>
      <c r="J67">
        <v>16.051369999999999</v>
      </c>
      <c r="K67">
        <v>254.74279999999999</v>
      </c>
      <c r="L67">
        <v>345.9325</v>
      </c>
    </row>
    <row r="68" spans="1:12" x14ac:dyDescent="0.2">
      <c r="A68" s="1">
        <v>42972.639340277776</v>
      </c>
      <c r="B68">
        <v>1694.4159999999999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1.6</v>
      </c>
      <c r="I68">
        <v>4.1399999999999997</v>
      </c>
      <c r="J68">
        <v>17.881350000000001</v>
      </c>
      <c r="K68">
        <v>255.32079999999999</v>
      </c>
      <c r="L68">
        <v>345.65719999999999</v>
      </c>
    </row>
    <row r="69" spans="1:12" x14ac:dyDescent="0.2">
      <c r="A69" s="1">
        <v>42972.639386574076</v>
      </c>
      <c r="B69">
        <v>1698.75</v>
      </c>
      <c r="C69">
        <v>22</v>
      </c>
      <c r="D69" t="s">
        <v>35</v>
      </c>
      <c r="E69" t="s">
        <v>1</v>
      </c>
      <c r="F69" t="s">
        <v>5</v>
      </c>
      <c r="G69">
        <v>-3.9104459999999999</v>
      </c>
      <c r="H69">
        <v>1.6</v>
      </c>
      <c r="I69">
        <v>4.1215080000000004</v>
      </c>
      <c r="J69">
        <v>12.1891</v>
      </c>
      <c r="K69">
        <v>5.5802709999999998</v>
      </c>
      <c r="L69">
        <v>353.07380000000001</v>
      </c>
    </row>
    <row r="70" spans="1:12" x14ac:dyDescent="0.2">
      <c r="A70" s="1">
        <v>42972.639467592591</v>
      </c>
      <c r="B70">
        <v>1706.248</v>
      </c>
      <c r="C70">
        <v>22</v>
      </c>
      <c r="D70" t="s">
        <v>36</v>
      </c>
      <c r="E70" t="s">
        <v>1</v>
      </c>
      <c r="F70" t="s">
        <v>5</v>
      </c>
      <c r="G70">
        <v>-1.234753</v>
      </c>
      <c r="H70">
        <v>1.6</v>
      </c>
      <c r="I70">
        <v>7.9128270000000001E-2</v>
      </c>
      <c r="J70">
        <v>13.2356</v>
      </c>
      <c r="K70">
        <v>50.928510000000003</v>
      </c>
      <c r="L70">
        <v>352.5351</v>
      </c>
    </row>
    <row r="71" spans="1:12" x14ac:dyDescent="0.2">
      <c r="A71" s="1">
        <v>42972.639502314814</v>
      </c>
      <c r="B71">
        <v>1708.491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1.6</v>
      </c>
      <c r="I71">
        <v>0.09</v>
      </c>
      <c r="J71">
        <v>13.915990000000001</v>
      </c>
      <c r="K71">
        <v>53.095140000000001</v>
      </c>
      <c r="L71">
        <v>351.2747</v>
      </c>
    </row>
    <row r="72" spans="1:12" x14ac:dyDescent="0.2">
      <c r="A72" s="1">
        <v>42972.639548611114</v>
      </c>
      <c r="B72">
        <v>1712.5239999999999</v>
      </c>
      <c r="C72">
        <v>23</v>
      </c>
      <c r="D72" t="s">
        <v>35</v>
      </c>
      <c r="E72" t="s">
        <v>6</v>
      </c>
      <c r="F72" t="s">
        <v>33</v>
      </c>
      <c r="G72">
        <v>-4.1100000000000003</v>
      </c>
      <c r="H72">
        <v>1.6</v>
      </c>
      <c r="I72">
        <v>0.09</v>
      </c>
      <c r="J72">
        <v>14.80199</v>
      </c>
      <c r="K72">
        <v>5.386266</v>
      </c>
      <c r="L72">
        <v>351.04059999999998</v>
      </c>
    </row>
    <row r="73" spans="1:12" x14ac:dyDescent="0.2">
      <c r="A73" s="1">
        <v>42972.639652777776</v>
      </c>
      <c r="B73">
        <v>1722.03</v>
      </c>
      <c r="C73">
        <v>23</v>
      </c>
      <c r="D73" t="s">
        <v>36</v>
      </c>
      <c r="E73" t="s">
        <v>6</v>
      </c>
      <c r="F73" t="s">
        <v>33</v>
      </c>
      <c r="G73">
        <v>-7.1999040000000001</v>
      </c>
      <c r="H73">
        <v>1.6</v>
      </c>
      <c r="I73">
        <v>-1.7552570000000001</v>
      </c>
      <c r="J73">
        <v>15.64134</v>
      </c>
      <c r="K73">
        <v>145.4068</v>
      </c>
      <c r="L73">
        <v>352.24090000000001</v>
      </c>
    </row>
    <row r="74" spans="1:12" x14ac:dyDescent="0.2">
      <c r="A74" s="1">
        <v>42972.639687499999</v>
      </c>
      <c r="B74">
        <v>1724.8920000000001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1.6</v>
      </c>
      <c r="I74">
        <v>2.7240000000000002</v>
      </c>
      <c r="J74">
        <v>15.410500000000001</v>
      </c>
      <c r="K74">
        <v>142.99690000000001</v>
      </c>
      <c r="L74">
        <v>351.32709999999997</v>
      </c>
    </row>
    <row r="75" spans="1:12" x14ac:dyDescent="0.2">
      <c r="A75" s="1">
        <v>42972.639733796299</v>
      </c>
      <c r="B75">
        <v>1728.7249999999999</v>
      </c>
      <c r="C75">
        <v>24</v>
      </c>
      <c r="D75" t="s">
        <v>35</v>
      </c>
      <c r="E75" t="s">
        <v>5</v>
      </c>
      <c r="F75" t="s">
        <v>2</v>
      </c>
      <c r="G75">
        <v>8.2143980000000005E-2</v>
      </c>
      <c r="H75">
        <v>1.6</v>
      </c>
      <c r="I75">
        <v>2.7190539999999999</v>
      </c>
      <c r="J75">
        <v>22.861419999999999</v>
      </c>
      <c r="K75">
        <v>4.1636319999999998</v>
      </c>
      <c r="L75">
        <v>347.24579999999997</v>
      </c>
    </row>
    <row r="76" spans="1:12" x14ac:dyDescent="0.2">
      <c r="A76" s="1">
        <v>42972.639861111114</v>
      </c>
      <c r="B76">
        <v>1739.8040000000001</v>
      </c>
      <c r="C76">
        <v>24</v>
      </c>
      <c r="D76" t="s">
        <v>36</v>
      </c>
      <c r="E76" t="s">
        <v>5</v>
      </c>
      <c r="F76" t="s">
        <v>2</v>
      </c>
      <c r="G76">
        <v>1.39506</v>
      </c>
      <c r="H76">
        <v>1.6</v>
      </c>
      <c r="I76">
        <v>-1.8804380000000001</v>
      </c>
      <c r="J76">
        <v>16.04297</v>
      </c>
      <c r="K76">
        <v>71.64349</v>
      </c>
      <c r="L76">
        <v>352.32499999999999</v>
      </c>
    </row>
    <row r="77" spans="1:12" x14ac:dyDescent="0.2">
      <c r="A77" s="1">
        <v>42972.639872685184</v>
      </c>
      <c r="B77">
        <v>1741.076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1.6</v>
      </c>
      <c r="I77">
        <v>4.1399999999999997</v>
      </c>
      <c r="J77">
        <v>17.396239999999999</v>
      </c>
      <c r="K77">
        <v>71.672790000000006</v>
      </c>
      <c r="L77">
        <v>350.2242</v>
      </c>
    </row>
    <row r="78" spans="1:12" x14ac:dyDescent="0.2">
      <c r="A78" s="1">
        <v>42972.63989583333</v>
      </c>
      <c r="B78">
        <v>1742.6659999999999</v>
      </c>
      <c r="C78">
        <v>25</v>
      </c>
      <c r="D78" t="s">
        <v>35</v>
      </c>
      <c r="E78" t="s">
        <v>1</v>
      </c>
      <c r="F78" t="s">
        <v>5</v>
      </c>
      <c r="G78">
        <v>-4.0789999999999997</v>
      </c>
      <c r="H78">
        <v>1.6</v>
      </c>
      <c r="I78">
        <v>4.1399999999999997</v>
      </c>
      <c r="J78">
        <v>15.997170000000001</v>
      </c>
      <c r="K78">
        <v>8.5813100000000002</v>
      </c>
      <c r="L78">
        <v>346.17989999999998</v>
      </c>
    </row>
    <row r="79" spans="1:12" x14ac:dyDescent="0.2">
      <c r="A79" s="1">
        <v>42972.639988425923</v>
      </c>
      <c r="B79">
        <v>1750.9169999999999</v>
      </c>
      <c r="C79">
        <v>25</v>
      </c>
      <c r="D79" t="s">
        <v>36</v>
      </c>
      <c r="E79" t="s">
        <v>1</v>
      </c>
      <c r="F79" t="s">
        <v>5</v>
      </c>
      <c r="G79">
        <v>-4.9946270000000004</v>
      </c>
      <c r="H79">
        <v>1.6</v>
      </c>
      <c r="I79">
        <v>1.1402840000000001</v>
      </c>
      <c r="J79">
        <v>15.87533</v>
      </c>
      <c r="K79">
        <v>104.0806</v>
      </c>
      <c r="L79">
        <v>350.90370000000001</v>
      </c>
    </row>
    <row r="80" spans="1:12" x14ac:dyDescent="0.2">
      <c r="A80" s="1">
        <v>42972.640011574076</v>
      </c>
      <c r="B80">
        <v>1752.9590000000001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1.6</v>
      </c>
      <c r="I80">
        <v>-0.67300000000000004</v>
      </c>
      <c r="J80">
        <v>14.64021</v>
      </c>
      <c r="K80">
        <v>97.419719999999998</v>
      </c>
      <c r="L80">
        <v>349.76600000000002</v>
      </c>
    </row>
    <row r="81" spans="1:12" x14ac:dyDescent="0.2">
      <c r="A81" s="1">
        <v>42972.640046296299</v>
      </c>
      <c r="B81">
        <v>1756.2729999999999</v>
      </c>
      <c r="C81">
        <v>26</v>
      </c>
      <c r="D81" t="s">
        <v>35</v>
      </c>
      <c r="E81" t="s">
        <v>4</v>
      </c>
      <c r="F81" t="s">
        <v>6</v>
      </c>
      <c r="G81">
        <v>3.8946839999999998</v>
      </c>
      <c r="H81">
        <v>1.6</v>
      </c>
      <c r="I81">
        <v>-0.67839550000000004</v>
      </c>
      <c r="J81">
        <v>22.814810000000001</v>
      </c>
      <c r="K81">
        <v>179.5522</v>
      </c>
      <c r="L81">
        <v>353.2011</v>
      </c>
    </row>
    <row r="82" spans="1:12" x14ac:dyDescent="0.2">
      <c r="A82" s="1">
        <v>42972.640150462961</v>
      </c>
      <c r="B82">
        <v>1764.876</v>
      </c>
      <c r="C82">
        <v>26</v>
      </c>
      <c r="D82" t="s">
        <v>36</v>
      </c>
      <c r="E82" t="s">
        <v>4</v>
      </c>
      <c r="F82" t="s">
        <v>6</v>
      </c>
      <c r="G82">
        <v>6.5270429999999999</v>
      </c>
      <c r="H82">
        <v>1.6</v>
      </c>
      <c r="I82">
        <v>3.1819500000000001</v>
      </c>
      <c r="J82">
        <v>18.80668</v>
      </c>
      <c r="K82">
        <v>311.77499999999998</v>
      </c>
      <c r="L82">
        <v>354.98110000000003</v>
      </c>
    </row>
    <row r="83" spans="1:12" x14ac:dyDescent="0.2">
      <c r="A83" s="1">
        <v>42972.640162037038</v>
      </c>
      <c r="B83">
        <v>1765.88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1.6</v>
      </c>
      <c r="I83">
        <v>2.7240000000000002</v>
      </c>
      <c r="J83">
        <v>18.862200000000001</v>
      </c>
      <c r="K83">
        <v>309.6524</v>
      </c>
      <c r="L83">
        <v>354.00920000000002</v>
      </c>
    </row>
    <row r="84" spans="1:12" x14ac:dyDescent="0.2">
      <c r="A84" s="1">
        <v>42972.640185185184</v>
      </c>
      <c r="B84">
        <v>1767.57</v>
      </c>
      <c r="C84">
        <v>27</v>
      </c>
      <c r="D84" t="s">
        <v>35</v>
      </c>
      <c r="E84" t="s">
        <v>5</v>
      </c>
      <c r="F84" t="s">
        <v>2</v>
      </c>
      <c r="G84">
        <v>1.6E-2</v>
      </c>
      <c r="H84">
        <v>1.6</v>
      </c>
      <c r="I84">
        <v>2.7240000000000002</v>
      </c>
      <c r="J84">
        <v>22.261430000000001</v>
      </c>
      <c r="K84">
        <v>356.91739999999999</v>
      </c>
      <c r="L84">
        <v>350.53899999999999</v>
      </c>
    </row>
    <row r="85" spans="1:12" x14ac:dyDescent="0.2">
      <c r="A85" s="1">
        <v>42972.640324074076</v>
      </c>
      <c r="B85">
        <v>1779.856</v>
      </c>
      <c r="C85">
        <v>27</v>
      </c>
      <c r="D85" t="s">
        <v>36</v>
      </c>
      <c r="E85" t="s">
        <v>5</v>
      </c>
      <c r="F85" t="s">
        <v>2</v>
      </c>
      <c r="G85">
        <v>-2.1509839999999998</v>
      </c>
      <c r="H85">
        <v>1.6</v>
      </c>
      <c r="I85">
        <v>-1.5507299999999999</v>
      </c>
      <c r="J85">
        <v>13.39287</v>
      </c>
      <c r="K85">
        <v>116.2358</v>
      </c>
      <c r="L85">
        <v>352.6936</v>
      </c>
    </row>
    <row r="86" spans="1:12" x14ac:dyDescent="0.2">
      <c r="A86" s="1">
        <v>42972.640335648146</v>
      </c>
      <c r="B86">
        <v>1781.01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1.6</v>
      </c>
      <c r="I86">
        <v>-4.117</v>
      </c>
      <c r="J86">
        <v>15.01774</v>
      </c>
      <c r="K86">
        <v>115.19540000000001</v>
      </c>
      <c r="L86">
        <v>352.28089999999997</v>
      </c>
    </row>
    <row r="87" spans="1:12" x14ac:dyDescent="0.2">
      <c r="A87" s="1">
        <v>42972.640381944446</v>
      </c>
      <c r="B87">
        <v>1784.625</v>
      </c>
      <c r="C87">
        <v>28</v>
      </c>
      <c r="D87" t="s">
        <v>35</v>
      </c>
      <c r="E87" t="s">
        <v>0</v>
      </c>
      <c r="F87" t="s">
        <v>1</v>
      </c>
      <c r="G87">
        <v>-0.7433575</v>
      </c>
      <c r="H87">
        <v>1.6</v>
      </c>
      <c r="I87">
        <v>-4.1198639999999997</v>
      </c>
      <c r="J87">
        <v>17.807839999999999</v>
      </c>
      <c r="K87">
        <v>1.3688880000000001</v>
      </c>
      <c r="L87">
        <v>350.59109999999998</v>
      </c>
    </row>
    <row r="88" spans="1:12" x14ac:dyDescent="0.2">
      <c r="A88" s="1">
        <v>42972.640543981484</v>
      </c>
      <c r="B88">
        <v>1798.6</v>
      </c>
      <c r="C88">
        <v>28</v>
      </c>
      <c r="D88" t="s">
        <v>36</v>
      </c>
      <c r="E88" t="s">
        <v>0</v>
      </c>
      <c r="F88" t="s">
        <v>1</v>
      </c>
      <c r="G88">
        <v>-0.97762150000000003</v>
      </c>
      <c r="H88">
        <v>1.6</v>
      </c>
      <c r="I88">
        <v>3.2432349999999999</v>
      </c>
      <c r="J88">
        <v>14.213839999999999</v>
      </c>
      <c r="K88">
        <v>268.24459999999999</v>
      </c>
      <c r="L88">
        <v>349.48809999999997</v>
      </c>
    </row>
    <row r="89" spans="1:12" x14ac:dyDescent="0.2">
      <c r="A89" s="1">
        <v>42972.640555555554</v>
      </c>
      <c r="B89">
        <v>1799.905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1.6</v>
      </c>
      <c r="I89">
        <v>-1.4059999999999999</v>
      </c>
      <c r="J89">
        <v>15.28871</v>
      </c>
      <c r="K89">
        <v>271.42</v>
      </c>
      <c r="L89">
        <v>348.63990000000001</v>
      </c>
    </row>
    <row r="90" spans="1:12" x14ac:dyDescent="0.2">
      <c r="A90" s="1">
        <v>42972.640601851854</v>
      </c>
      <c r="B90">
        <v>1804.19</v>
      </c>
      <c r="C90">
        <v>29</v>
      </c>
      <c r="D90" t="s">
        <v>35</v>
      </c>
      <c r="E90" t="s">
        <v>33</v>
      </c>
      <c r="F90" t="s">
        <v>3</v>
      </c>
      <c r="G90">
        <v>-3.9598230000000001</v>
      </c>
      <c r="H90">
        <v>1.6</v>
      </c>
      <c r="I90">
        <v>-1.40849</v>
      </c>
      <c r="J90">
        <v>18.03349</v>
      </c>
      <c r="K90">
        <v>8.0395640000000004</v>
      </c>
      <c r="L90">
        <v>352.65039999999999</v>
      </c>
    </row>
    <row r="91" spans="1:12" x14ac:dyDescent="0.2">
      <c r="A91" s="1">
        <v>42972.640694444446</v>
      </c>
      <c r="B91">
        <v>1811.84</v>
      </c>
      <c r="C91">
        <v>29</v>
      </c>
      <c r="D91" t="s">
        <v>36</v>
      </c>
      <c r="E91" t="s">
        <v>33</v>
      </c>
      <c r="F91" t="s">
        <v>3</v>
      </c>
      <c r="G91">
        <v>-5.0143279999999999</v>
      </c>
      <c r="H91">
        <v>1.6</v>
      </c>
      <c r="I91">
        <v>-6.505344</v>
      </c>
      <c r="J91">
        <v>11.757669999999999</v>
      </c>
      <c r="K91">
        <v>96.465890000000002</v>
      </c>
      <c r="L91">
        <v>352.23849999999999</v>
      </c>
    </row>
    <row r="92" spans="1:12" x14ac:dyDescent="0.2">
      <c r="A92" s="1">
        <v>42972.640706018516</v>
      </c>
      <c r="B92">
        <v>1813.162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1.6</v>
      </c>
      <c r="I92">
        <v>0.09</v>
      </c>
      <c r="J92">
        <v>11.865320000000001</v>
      </c>
      <c r="K92">
        <v>97.632210000000001</v>
      </c>
      <c r="L92">
        <v>351.31819999999999</v>
      </c>
    </row>
    <row r="93" spans="1:12" x14ac:dyDescent="0.2">
      <c r="A93" s="1">
        <v>42972.640775462962</v>
      </c>
      <c r="B93">
        <v>1819.221</v>
      </c>
      <c r="C93">
        <v>30</v>
      </c>
      <c r="D93" t="s">
        <v>35</v>
      </c>
      <c r="E93" t="s">
        <v>6</v>
      </c>
      <c r="F93" t="s">
        <v>33</v>
      </c>
      <c r="G93">
        <v>-4.0792299999999999</v>
      </c>
      <c r="H93">
        <v>1.6</v>
      </c>
      <c r="I93">
        <v>9.1578129999999994E-2</v>
      </c>
      <c r="J93">
        <v>16.263960000000001</v>
      </c>
      <c r="K93">
        <v>3.696256</v>
      </c>
      <c r="L93">
        <v>353.35599999999999</v>
      </c>
    </row>
    <row r="94" spans="1:12" x14ac:dyDescent="0.2">
      <c r="A94" s="1">
        <v>42972.640868055554</v>
      </c>
      <c r="B94">
        <v>1826.8530000000001</v>
      </c>
      <c r="C94">
        <v>30</v>
      </c>
      <c r="D94" t="s">
        <v>36</v>
      </c>
      <c r="E94" t="s">
        <v>6</v>
      </c>
      <c r="F94" t="s">
        <v>33</v>
      </c>
      <c r="G94">
        <v>-6.5123430000000004</v>
      </c>
      <c r="H94">
        <v>1.6</v>
      </c>
      <c r="I94">
        <v>0.72553429999999997</v>
      </c>
      <c r="J94">
        <v>13.533390000000001</v>
      </c>
      <c r="K94">
        <v>193.0821</v>
      </c>
      <c r="L94">
        <v>356.2285</v>
      </c>
    </row>
    <row r="95" spans="1:12" x14ac:dyDescent="0.2">
      <c r="A95" s="1">
        <v>42972.640879629631</v>
      </c>
      <c r="B95">
        <v>1827.925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1.6</v>
      </c>
      <c r="I95">
        <v>-4.3440000000000003</v>
      </c>
      <c r="J95">
        <v>14.444750000000001</v>
      </c>
      <c r="K95">
        <v>190.535</v>
      </c>
      <c r="L95">
        <v>354.32990000000001</v>
      </c>
    </row>
    <row r="96" spans="1:12" x14ac:dyDescent="0.2">
      <c r="A96" s="1">
        <v>42972.6409375</v>
      </c>
      <c r="B96">
        <v>1832.2760000000001</v>
      </c>
      <c r="C96">
        <v>31</v>
      </c>
      <c r="D96" t="s">
        <v>35</v>
      </c>
      <c r="E96" t="s">
        <v>2</v>
      </c>
      <c r="F96" t="s">
        <v>0</v>
      </c>
      <c r="G96">
        <v>3.6069279999999999</v>
      </c>
      <c r="H96">
        <v>1.6</v>
      </c>
      <c r="I96">
        <v>-4.365837</v>
      </c>
      <c r="J96">
        <v>17.608090000000001</v>
      </c>
      <c r="K96">
        <v>349.40390000000002</v>
      </c>
      <c r="L96">
        <v>348.29239999999999</v>
      </c>
    </row>
    <row r="97" spans="1:12" x14ac:dyDescent="0.2">
      <c r="A97" s="1">
        <v>42972.641030092593</v>
      </c>
      <c r="B97">
        <v>1841.164</v>
      </c>
      <c r="C97">
        <v>31</v>
      </c>
      <c r="D97" t="s">
        <v>36</v>
      </c>
      <c r="E97" t="s">
        <v>2</v>
      </c>
      <c r="F97" t="s">
        <v>0</v>
      </c>
      <c r="G97">
        <v>0.37048320000000001</v>
      </c>
      <c r="H97">
        <v>1.6</v>
      </c>
      <c r="I97">
        <v>-3.0878450000000002</v>
      </c>
      <c r="J97">
        <v>16.15803</v>
      </c>
      <c r="K97">
        <v>201.03030000000001</v>
      </c>
      <c r="L97">
        <v>351.80220000000003</v>
      </c>
    </row>
    <row r="98" spans="1:12" x14ac:dyDescent="0.2">
      <c r="A98" s="1">
        <v>42972.641041666669</v>
      </c>
      <c r="B98">
        <v>1842.252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1.6</v>
      </c>
      <c r="I98">
        <v>1.8169999999999999</v>
      </c>
      <c r="J98">
        <v>17.385819999999999</v>
      </c>
      <c r="K98">
        <v>200.6848</v>
      </c>
      <c r="L98">
        <v>350.21730000000002</v>
      </c>
    </row>
    <row r="99" spans="1:12" x14ac:dyDescent="0.2">
      <c r="A99" s="1">
        <v>42972.641157407408</v>
      </c>
      <c r="B99">
        <v>1851.3910000000001</v>
      </c>
      <c r="C99">
        <v>32</v>
      </c>
      <c r="D99" t="s">
        <v>35</v>
      </c>
      <c r="E99" t="s">
        <v>3</v>
      </c>
      <c r="F99" t="s">
        <v>4</v>
      </c>
      <c r="G99">
        <v>3.3730000000000002</v>
      </c>
      <c r="H99">
        <v>1.6</v>
      </c>
      <c r="I99">
        <v>1.8169999999999999</v>
      </c>
      <c r="J99">
        <v>27.31765</v>
      </c>
      <c r="K99">
        <v>245.2508</v>
      </c>
      <c r="L99">
        <v>349.80779999999999</v>
      </c>
    </row>
    <row r="100" spans="1:12" x14ac:dyDescent="0.2">
      <c r="A100" s="1">
        <v>42972.641238425924</v>
      </c>
      <c r="B100">
        <v>1858.354</v>
      </c>
      <c r="C100">
        <v>32</v>
      </c>
      <c r="D100" t="s">
        <v>36</v>
      </c>
      <c r="E100" t="s">
        <v>3</v>
      </c>
      <c r="F100" t="s">
        <v>4</v>
      </c>
      <c r="G100">
        <v>4.0639139999999996</v>
      </c>
      <c r="H100">
        <v>1.6</v>
      </c>
      <c r="I100">
        <v>-0.1103987</v>
      </c>
      <c r="J100">
        <v>23.811150000000001</v>
      </c>
      <c r="K100">
        <v>59.025039999999997</v>
      </c>
      <c r="L100">
        <v>350.92970000000003</v>
      </c>
    </row>
    <row r="101" spans="1:12" x14ac:dyDescent="0.2">
      <c r="A101" s="1">
        <v>42972.641250000001</v>
      </c>
      <c r="B101">
        <v>1859.492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1.6</v>
      </c>
      <c r="I101">
        <v>0.09</v>
      </c>
      <c r="J101">
        <v>24.630099999999999</v>
      </c>
      <c r="K101">
        <v>60.429879999999997</v>
      </c>
      <c r="L101">
        <v>350.4461</v>
      </c>
    </row>
    <row r="102" spans="1:12" x14ac:dyDescent="0.2">
      <c r="A102" s="1">
        <v>42972.641273148147</v>
      </c>
      <c r="B102">
        <v>1861.299</v>
      </c>
      <c r="C102">
        <v>33</v>
      </c>
      <c r="D102" t="s">
        <v>35</v>
      </c>
      <c r="E102" t="s">
        <v>6</v>
      </c>
      <c r="F102" t="s">
        <v>33</v>
      </c>
      <c r="G102">
        <v>-4.1100000000000003</v>
      </c>
      <c r="H102">
        <v>1.6</v>
      </c>
      <c r="I102">
        <v>0.09</v>
      </c>
      <c r="J102">
        <v>19.93824</v>
      </c>
      <c r="K102">
        <v>351.55880000000002</v>
      </c>
      <c r="L102">
        <v>350.45679999999999</v>
      </c>
    </row>
    <row r="103" spans="1:12" x14ac:dyDescent="0.2">
      <c r="A103" s="1">
        <v>42972.641377314816</v>
      </c>
      <c r="B103">
        <v>1871.175</v>
      </c>
      <c r="C103">
        <v>33</v>
      </c>
      <c r="D103" t="s">
        <v>36</v>
      </c>
      <c r="E103" t="s">
        <v>6</v>
      </c>
      <c r="F103" t="s">
        <v>33</v>
      </c>
      <c r="G103">
        <v>-7.6218899999999996</v>
      </c>
      <c r="H103">
        <v>1.6</v>
      </c>
      <c r="I103">
        <v>-0.33060089999999998</v>
      </c>
      <c r="J103">
        <v>17.671900000000001</v>
      </c>
      <c r="K103">
        <v>166.87970000000001</v>
      </c>
      <c r="L103">
        <v>349.08199999999999</v>
      </c>
    </row>
    <row r="104" spans="1:12" x14ac:dyDescent="0.2">
      <c r="A104" s="1">
        <v>42972.641412037039</v>
      </c>
      <c r="B104">
        <v>1873.434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1.6</v>
      </c>
      <c r="I104">
        <v>-0.67300000000000004</v>
      </c>
      <c r="J104">
        <v>18.25891</v>
      </c>
      <c r="K104">
        <v>176.5265</v>
      </c>
      <c r="L104">
        <v>350.08550000000002</v>
      </c>
    </row>
    <row r="105" spans="1:12" x14ac:dyDescent="0.2">
      <c r="A105" s="1">
        <v>42972.641423611109</v>
      </c>
      <c r="B105">
        <v>1874.489</v>
      </c>
      <c r="C105">
        <v>34</v>
      </c>
      <c r="D105" t="s">
        <v>35</v>
      </c>
      <c r="E105" t="s">
        <v>4</v>
      </c>
      <c r="F105" t="s">
        <v>6</v>
      </c>
      <c r="G105">
        <v>3.9180000000000001</v>
      </c>
      <c r="H105">
        <v>1.6</v>
      </c>
      <c r="I105">
        <v>-0.67300000000000004</v>
      </c>
      <c r="J105">
        <v>17.64273</v>
      </c>
      <c r="K105">
        <v>173.6301</v>
      </c>
      <c r="L105">
        <v>349.83120000000002</v>
      </c>
    </row>
    <row r="106" spans="1:12" x14ac:dyDescent="0.2">
      <c r="A106" s="1">
        <v>42972.641527777778</v>
      </c>
      <c r="B106">
        <v>1883.4590000000001</v>
      </c>
      <c r="C106">
        <v>34</v>
      </c>
      <c r="D106" t="s">
        <v>36</v>
      </c>
      <c r="E106" t="s">
        <v>4</v>
      </c>
      <c r="F106" t="s">
        <v>6</v>
      </c>
      <c r="G106">
        <v>6.2382179999999998</v>
      </c>
      <c r="H106">
        <v>1.6</v>
      </c>
      <c r="I106">
        <v>2.7397450000000001</v>
      </c>
      <c r="J106">
        <v>15.15119</v>
      </c>
      <c r="K106">
        <v>302.57440000000003</v>
      </c>
      <c r="L106">
        <v>351.8503</v>
      </c>
    </row>
    <row r="107" spans="1:12" x14ac:dyDescent="0.2">
      <c r="A107" s="1">
        <v>42972.641539351855</v>
      </c>
      <c r="B107">
        <v>1884.5309999999999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1.6</v>
      </c>
      <c r="I107">
        <v>2.7240000000000002</v>
      </c>
      <c r="J107">
        <v>16.511600000000001</v>
      </c>
      <c r="K107">
        <v>302.20940000000002</v>
      </c>
      <c r="L107">
        <v>350.95909999999998</v>
      </c>
    </row>
    <row r="108" spans="1:12" x14ac:dyDescent="0.2">
      <c r="A108" s="1">
        <v>42972.641562500001</v>
      </c>
      <c r="B108">
        <v>1887.242</v>
      </c>
      <c r="C108">
        <v>35</v>
      </c>
      <c r="D108" t="s">
        <v>35</v>
      </c>
      <c r="E108" t="s">
        <v>5</v>
      </c>
      <c r="F108" t="s">
        <v>2</v>
      </c>
      <c r="G108">
        <v>5.6804460000000001E-2</v>
      </c>
      <c r="H108">
        <v>1.6</v>
      </c>
      <c r="I108">
        <v>2.7348599999999998</v>
      </c>
      <c r="J108">
        <v>23.887540000000001</v>
      </c>
      <c r="K108">
        <v>10.376620000000001</v>
      </c>
      <c r="L108">
        <v>350.44119999999998</v>
      </c>
    </row>
    <row r="109" spans="1:12" x14ac:dyDescent="0.2">
      <c r="A109" s="1">
        <v>42972.641689814816</v>
      </c>
      <c r="B109">
        <v>1897.451</v>
      </c>
      <c r="C109">
        <v>35</v>
      </c>
      <c r="D109" t="s">
        <v>36</v>
      </c>
      <c r="E109" t="s">
        <v>5</v>
      </c>
      <c r="F109" t="s">
        <v>2</v>
      </c>
      <c r="G109">
        <v>1.8699220000000001</v>
      </c>
      <c r="H109">
        <v>1.6</v>
      </c>
      <c r="I109">
        <v>-1.6869829999999999</v>
      </c>
      <c r="J109">
        <v>15.811310000000001</v>
      </c>
      <c r="K109">
        <v>65.576229999999995</v>
      </c>
      <c r="L109">
        <v>351.7149</v>
      </c>
    </row>
    <row r="110" spans="1:12" x14ac:dyDescent="0.2">
      <c r="A110" s="1">
        <v>42972.641701388886</v>
      </c>
      <c r="B110">
        <v>1898.472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1.6</v>
      </c>
      <c r="I110">
        <v>1.8169999999999999</v>
      </c>
      <c r="J110">
        <v>18.451350000000001</v>
      </c>
      <c r="K110">
        <v>62.382759999999998</v>
      </c>
      <c r="L110">
        <v>347.98739999999998</v>
      </c>
    </row>
    <row r="111" spans="1:12" x14ac:dyDescent="0.2">
      <c r="A111" s="1">
        <v>42972.641770833332</v>
      </c>
      <c r="B111">
        <v>1904.6310000000001</v>
      </c>
      <c r="C111">
        <v>36</v>
      </c>
      <c r="D111" t="s">
        <v>35</v>
      </c>
      <c r="E111" t="s">
        <v>3</v>
      </c>
      <c r="F111" t="s">
        <v>4</v>
      </c>
      <c r="G111">
        <v>3.3730000000000002</v>
      </c>
      <c r="H111">
        <v>1.6</v>
      </c>
      <c r="I111">
        <v>1.8169999999999999</v>
      </c>
      <c r="J111">
        <v>27.539149999999999</v>
      </c>
      <c r="K111">
        <v>302.56209999999999</v>
      </c>
      <c r="L111">
        <v>347.91199999999998</v>
      </c>
    </row>
    <row r="112" spans="1:12" x14ac:dyDescent="0.2">
      <c r="A112" s="1">
        <v>42972.641851851855</v>
      </c>
      <c r="B112">
        <v>1911.9949999999999</v>
      </c>
      <c r="C112">
        <v>36</v>
      </c>
      <c r="D112" t="s">
        <v>36</v>
      </c>
      <c r="E112" t="s">
        <v>3</v>
      </c>
      <c r="F112" t="s">
        <v>4</v>
      </c>
      <c r="G112">
        <v>1.1686529999999999</v>
      </c>
      <c r="H112">
        <v>1.6</v>
      </c>
      <c r="I112">
        <v>-0.31471979999999999</v>
      </c>
      <c r="J112">
        <v>18.66423</v>
      </c>
      <c r="K112">
        <v>133.4659</v>
      </c>
      <c r="L112">
        <v>354.43020000000001</v>
      </c>
    </row>
    <row r="113" spans="1:12" x14ac:dyDescent="0.2">
      <c r="A113" s="1">
        <v>42972.641898148147</v>
      </c>
      <c r="B113">
        <v>1916.162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1.6</v>
      </c>
      <c r="I113">
        <v>0.09</v>
      </c>
      <c r="J113">
        <v>19.622070000000001</v>
      </c>
      <c r="K113">
        <v>133.0461</v>
      </c>
      <c r="L113">
        <v>349.46640000000002</v>
      </c>
    </row>
    <row r="114" spans="1:12" x14ac:dyDescent="0.2">
      <c r="A114" s="1">
        <v>42972.641921296294</v>
      </c>
      <c r="B114">
        <v>1918.12</v>
      </c>
      <c r="C114">
        <v>37</v>
      </c>
      <c r="D114" t="s">
        <v>35</v>
      </c>
      <c r="E114" t="s">
        <v>6</v>
      </c>
      <c r="F114" t="s">
        <v>33</v>
      </c>
      <c r="G114">
        <v>-4.1100000000000003</v>
      </c>
      <c r="H114">
        <v>1.6</v>
      </c>
      <c r="I114">
        <v>0.09</v>
      </c>
      <c r="J114">
        <v>20.533729999999998</v>
      </c>
      <c r="K114">
        <v>13.53337</v>
      </c>
      <c r="L114">
        <v>349.07190000000003</v>
      </c>
    </row>
    <row r="115" spans="1:12" x14ac:dyDescent="0.2">
      <c r="A115" s="1">
        <v>42972.642002314817</v>
      </c>
      <c r="B115">
        <v>1924.8309999999999</v>
      </c>
      <c r="C115">
        <v>37</v>
      </c>
      <c r="D115" t="s">
        <v>36</v>
      </c>
      <c r="E115" t="s">
        <v>6</v>
      </c>
      <c r="F115" t="s">
        <v>33</v>
      </c>
      <c r="G115">
        <v>-5.5558249999999996</v>
      </c>
      <c r="H115">
        <v>1.6</v>
      </c>
      <c r="I115">
        <v>1.9783850000000001</v>
      </c>
      <c r="J115">
        <v>18.180160000000001</v>
      </c>
      <c r="K115">
        <v>251.64850000000001</v>
      </c>
      <c r="L115">
        <v>359.74419999999998</v>
      </c>
    </row>
    <row r="116" spans="1:12" x14ac:dyDescent="0.2">
      <c r="A116" s="1">
        <v>42972.642013888886</v>
      </c>
      <c r="B116">
        <v>1926.17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1.6</v>
      </c>
      <c r="I116">
        <v>-4.3440000000000003</v>
      </c>
      <c r="J116">
        <v>18.76962</v>
      </c>
      <c r="K116">
        <v>246.30099999999999</v>
      </c>
      <c r="L116">
        <v>357.7878</v>
      </c>
    </row>
    <row r="117" spans="1:12" x14ac:dyDescent="0.2">
      <c r="A117" s="1">
        <v>42972.642071759263</v>
      </c>
      <c r="B117">
        <v>1930.2539999999999</v>
      </c>
      <c r="C117">
        <v>38</v>
      </c>
      <c r="D117" t="s">
        <v>35</v>
      </c>
      <c r="E117" t="s">
        <v>2</v>
      </c>
      <c r="F117" t="s">
        <v>0</v>
      </c>
      <c r="G117">
        <v>3.5041630000000001</v>
      </c>
      <c r="H117">
        <v>1.6</v>
      </c>
      <c r="I117">
        <v>-4.3448820000000001</v>
      </c>
      <c r="J117">
        <v>29.380089999999999</v>
      </c>
      <c r="K117">
        <v>322.20490000000001</v>
      </c>
      <c r="L117">
        <v>356.42660000000001</v>
      </c>
    </row>
    <row r="118" spans="1:12" x14ac:dyDescent="0.2">
      <c r="A118" s="1">
        <v>42972.642175925925</v>
      </c>
      <c r="B118">
        <v>1939.9949999999999</v>
      </c>
      <c r="C118">
        <v>38</v>
      </c>
      <c r="D118" t="s">
        <v>36</v>
      </c>
      <c r="E118" t="s">
        <v>2</v>
      </c>
      <c r="F118" t="s">
        <v>0</v>
      </c>
      <c r="G118">
        <v>1.2538480000000001</v>
      </c>
      <c r="H118">
        <v>1.6</v>
      </c>
      <c r="I118">
        <v>-5.6530279999999999</v>
      </c>
      <c r="J118">
        <v>18.44154</v>
      </c>
      <c r="K118">
        <v>146.8749</v>
      </c>
      <c r="L118">
        <v>351.21929999999998</v>
      </c>
    </row>
    <row r="119" spans="1:12" x14ac:dyDescent="0.2">
      <c r="A119" s="1">
        <v>42972.642187500001</v>
      </c>
      <c r="B119">
        <v>1941.0160000000001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1.6</v>
      </c>
      <c r="I119">
        <v>4.1399999999999997</v>
      </c>
      <c r="J119">
        <v>19.042259999999999</v>
      </c>
      <c r="K119">
        <v>148.45849999999999</v>
      </c>
      <c r="L119">
        <v>351.15960000000001</v>
      </c>
    </row>
    <row r="120" spans="1:12" x14ac:dyDescent="0.2">
      <c r="A120" s="1">
        <v>42972.642245370371</v>
      </c>
      <c r="B120">
        <v>1945.568</v>
      </c>
      <c r="C120">
        <v>39</v>
      </c>
      <c r="D120" t="s">
        <v>35</v>
      </c>
      <c r="E120" t="s">
        <v>1</v>
      </c>
      <c r="F120" t="s">
        <v>5</v>
      </c>
      <c r="G120">
        <v>-4.0742669999999999</v>
      </c>
      <c r="H120">
        <v>1.6</v>
      </c>
      <c r="I120">
        <v>4.1383369999999999</v>
      </c>
      <c r="J120">
        <v>20.111630000000002</v>
      </c>
      <c r="K120">
        <v>21.939910000000001</v>
      </c>
      <c r="L120">
        <v>352.0752</v>
      </c>
    </row>
    <row r="121" spans="1:12" x14ac:dyDescent="0.2">
      <c r="A121" s="1">
        <v>42972.642337962963</v>
      </c>
      <c r="B121">
        <v>1953.2840000000001</v>
      </c>
      <c r="C121">
        <v>39</v>
      </c>
      <c r="D121" t="s">
        <v>36</v>
      </c>
      <c r="E121" t="s">
        <v>1</v>
      </c>
      <c r="F121" t="s">
        <v>5</v>
      </c>
      <c r="G121">
        <v>-2.2524899999999999</v>
      </c>
      <c r="H121">
        <v>1.6</v>
      </c>
      <c r="I121">
        <v>2.7363059999999999</v>
      </c>
      <c r="J121">
        <v>20.17408</v>
      </c>
      <c r="K121">
        <v>33.736229999999999</v>
      </c>
      <c r="L121">
        <v>351.61099999999999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3.9982199999999999</v>
      </c>
      <c r="G2" s="3">
        <f>VLOOKUP($A2,'Summary Data (40)'!$C$2:$L$249,6,1)</f>
        <v>1.6</v>
      </c>
      <c r="H2" s="3">
        <f>VLOOKUP($A2,'Summary Data (40)'!$C$2:$L$249,7,1)</f>
        <v>3.2892769999999998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8.8520153732994036</v>
      </c>
      <c r="N2" s="3">
        <f t="shared" ref="N2:N41" si="1">ABS(SQRT((F2-C2)^2+(H2-E2)^2))</f>
        <v>7.6484935697906549</v>
      </c>
      <c r="O2" s="3">
        <f t="shared" ref="O2:O41" si="2">ABS(SQRT((J2-C2)^2+(L2-E2)^2))</f>
        <v>4.3718971854333439</v>
      </c>
      <c r="P2" s="3">
        <f t="shared" ref="P2:P41" si="3">(N2-O2)</f>
        <v>3.2765963843573109</v>
      </c>
      <c r="Q2" s="5">
        <f t="shared" ref="Q2:Q41" si="4">P2/O2</f>
        <v>0.74946785008452421</v>
      </c>
      <c r="R2" s="3">
        <f t="shared" ref="R2:R41" si="5">ATAN2(J2-C2,L2-E2)*180/PI()</f>
        <v>177.02371934116897</v>
      </c>
      <c r="S2" s="3">
        <f t="shared" ref="S2:S41" si="6">ATAN2(F2-C2,H2-E2)*180/PI()</f>
        <v>86.385234850124064</v>
      </c>
      <c r="T2" s="3">
        <f t="shared" ref="T2:T41" si="7">IF(ABS(R2-S2)&gt;180,360-ABS(R2-S2),ABS(R2-S2))</f>
        <v>90.638484491044906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-0.62818169999999995</v>
      </c>
      <c r="G3" s="3">
        <f>VLOOKUP($A3,'Summary Data (40)'!$C$2:$L$249,6,1)</f>
        <v>1.6</v>
      </c>
      <c r="H3" s="3">
        <f>VLOOKUP($A3,'Summary Data (40)'!$C$2:$L$249,7,1)</f>
        <v>-3.5032209999999999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4.2286110354885906</v>
      </c>
      <c r="N3" s="3">
        <f t="shared" si="1"/>
        <v>6.2604513771337524</v>
      </c>
      <c r="O3" s="3">
        <f t="shared" si="2"/>
        <v>7.8871175977032326</v>
      </c>
      <c r="P3" s="3">
        <f t="shared" si="3"/>
        <v>-1.6266662205694802</v>
      </c>
      <c r="Q3" s="5">
        <f t="shared" si="4"/>
        <v>-0.20624343436227874</v>
      </c>
      <c r="R3" s="3">
        <f t="shared" si="5"/>
        <v>-63.65586590726528</v>
      </c>
      <c r="S3" s="3">
        <f t="shared" si="6"/>
        <v>-95.906017526728576</v>
      </c>
      <c r="T3" s="3">
        <f t="shared" si="7"/>
        <v>32.250151619463296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3.9803959999999998</v>
      </c>
      <c r="G4" s="3">
        <f>VLOOKUP($A4,'Summary Data (40)'!$C$2:$L$249,6,1)</f>
        <v>1.6</v>
      </c>
      <c r="H4" s="3">
        <f>VLOOKUP($A4,'Summary Data (40)'!$C$2:$L$249,7,1)</f>
        <v>2.388585E-2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1.8931952502967626</v>
      </c>
      <c r="N4" s="3">
        <f t="shared" si="1"/>
        <v>8.0887823442620963</v>
      </c>
      <c r="O4" s="3">
        <f t="shared" si="2"/>
        <v>8.0292617967033557</v>
      </c>
      <c r="P4" s="3">
        <f t="shared" si="3"/>
        <v>5.9520547558740589E-2</v>
      </c>
      <c r="Q4" s="5">
        <f t="shared" si="4"/>
        <v>7.4129539010894452E-3</v>
      </c>
      <c r="R4" s="3">
        <f t="shared" si="5"/>
        <v>23.666151625811782</v>
      </c>
      <c r="S4" s="3">
        <f t="shared" si="6"/>
        <v>10.181906472004098</v>
      </c>
      <c r="T4" s="3">
        <f t="shared" si="7"/>
        <v>13.484245153807684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-2.4128699999999998</v>
      </c>
      <c r="G5" s="3">
        <f>VLOOKUP($A5,'Summary Data (40)'!$C$2:$L$249,6,1)</f>
        <v>1.6</v>
      </c>
      <c r="H5" s="3">
        <f>VLOOKUP($A5,'Summary Data (40)'!$C$2:$L$249,7,1)</f>
        <v>0.81119870000000005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3.7224867053868285</v>
      </c>
      <c r="N5" s="3">
        <f t="shared" si="1"/>
        <v>5.1700778585609033</v>
      </c>
      <c r="O5" s="3">
        <f t="shared" si="2"/>
        <v>8.8659173242253964</v>
      </c>
      <c r="P5" s="3">
        <f t="shared" si="3"/>
        <v>-3.6958394656644931</v>
      </c>
      <c r="Q5" s="5">
        <f t="shared" si="4"/>
        <v>-0.41685922962149818</v>
      </c>
      <c r="R5" s="3">
        <f t="shared" si="5"/>
        <v>111.35858600069317</v>
      </c>
      <c r="S5" s="3">
        <f t="shared" si="6"/>
        <v>107.59528116470415</v>
      </c>
      <c r="T5" s="3">
        <f t="shared" si="7"/>
        <v>3.7633048359890182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3.6566130000000001</v>
      </c>
      <c r="G6" s="3">
        <f>VLOOKUP($A6,'Summary Data (40)'!$C$2:$L$249,6,1)</f>
        <v>1.6</v>
      </c>
      <c r="H6" s="3">
        <f>VLOOKUP($A6,'Summary Data (40)'!$C$2:$L$249,7,1)</f>
        <v>5.1645979999999998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5.8434470625969563</v>
      </c>
      <c r="N6" s="3">
        <f t="shared" si="1"/>
        <v>3.3595905559119847</v>
      </c>
      <c r="O6" s="3">
        <f t="shared" si="2"/>
        <v>2.5489458605470614</v>
      </c>
      <c r="P6" s="3">
        <f t="shared" si="3"/>
        <v>0.81064469536492334</v>
      </c>
      <c r="Q6" s="5">
        <f t="shared" si="4"/>
        <v>0.31803135088594647</v>
      </c>
      <c r="R6" s="3">
        <f t="shared" si="5"/>
        <v>-77.654050540796021</v>
      </c>
      <c r="S6" s="3">
        <f t="shared" si="6"/>
        <v>85.15738876994061</v>
      </c>
      <c r="T6" s="3">
        <f t="shared" si="7"/>
        <v>162.81143931073663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-0.40356239999999999</v>
      </c>
      <c r="G7" s="3">
        <f>VLOOKUP($A7,'Summary Data (40)'!$C$2:$L$249,6,1)</f>
        <v>1.6</v>
      </c>
      <c r="H7" s="3">
        <f>VLOOKUP($A7,'Summary Data (40)'!$C$2:$L$249,7,1)</f>
        <v>1.474702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5.6094953237789369</v>
      </c>
      <c r="N7" s="3">
        <f t="shared" si="1"/>
        <v>7.0157153856394263</v>
      </c>
      <c r="O7" s="3">
        <f t="shared" si="2"/>
        <v>4.3718971854333439</v>
      </c>
      <c r="P7" s="3">
        <f t="shared" si="3"/>
        <v>2.6438182002060824</v>
      </c>
      <c r="Q7" s="5">
        <f t="shared" si="4"/>
        <v>0.60473018647716126</v>
      </c>
      <c r="R7" s="3">
        <f t="shared" si="5"/>
        <v>177.02371934116897</v>
      </c>
      <c r="S7" s="3">
        <f t="shared" si="6"/>
        <v>123.96478185022264</v>
      </c>
      <c r="T7" s="3">
        <f t="shared" si="7"/>
        <v>53.058937490946334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-2.7821030000000002</v>
      </c>
      <c r="G8" s="3">
        <f>VLOOKUP($A8,'Summary Data (40)'!$C$2:$L$249,6,1)</f>
        <v>1.6</v>
      </c>
      <c r="H8" s="3">
        <f>VLOOKUP($A8,'Summary Data (40)'!$C$2:$L$249,7,1)</f>
        <v>-7.7289659999999998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6.435623750170997</v>
      </c>
      <c r="N8" s="3">
        <f t="shared" si="1"/>
        <v>7.9309230075549841</v>
      </c>
      <c r="O8" s="3">
        <f t="shared" si="2"/>
        <v>1.5015515309172709</v>
      </c>
      <c r="P8" s="3">
        <f t="shared" si="3"/>
        <v>6.429371476637713</v>
      </c>
      <c r="Q8" s="5">
        <f t="shared" si="4"/>
        <v>4.2818187349921484</v>
      </c>
      <c r="R8" s="3">
        <f t="shared" si="5"/>
        <v>-85.071579131103505</v>
      </c>
      <c r="S8" s="3">
        <f t="shared" si="6"/>
        <v>-80.361407369961242</v>
      </c>
      <c r="T8" s="3">
        <f t="shared" si="7"/>
        <v>4.7101717611422629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-1.86256</v>
      </c>
      <c r="G9" s="3">
        <f>VLOOKUP($A9,'Summary Data (40)'!$C$2:$L$249,6,1)</f>
        <v>1.6</v>
      </c>
      <c r="H9" s="3">
        <f>VLOOKUP($A9,'Summary Data (40)'!$C$2:$L$249,7,1)</f>
        <v>2.426218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2.8017235797137441</v>
      </c>
      <c r="N9" s="3">
        <f t="shared" si="1"/>
        <v>6.6211010828353922</v>
      </c>
      <c r="O9" s="3">
        <f t="shared" si="2"/>
        <v>8.8659173242253964</v>
      </c>
      <c r="P9" s="3">
        <f t="shared" si="3"/>
        <v>-2.2448162413900041</v>
      </c>
      <c r="Q9" s="5">
        <f t="shared" si="4"/>
        <v>-0.25319616225793429</v>
      </c>
      <c r="R9" s="3">
        <f t="shared" si="5"/>
        <v>111.35858600069317</v>
      </c>
      <c r="S9" s="3">
        <f t="shared" si="6"/>
        <v>98.796719039844973</v>
      </c>
      <c r="T9" s="3">
        <f t="shared" si="7"/>
        <v>12.561866960848192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-0.82095499999999999</v>
      </c>
      <c r="G10" s="3">
        <f>VLOOKUP($A10,'Summary Data (40)'!$C$2:$L$249,6,1)</f>
        <v>1.6</v>
      </c>
      <c r="H10" s="3">
        <f>VLOOKUP($A10,'Summary Data (40)'!$C$2:$L$249,7,1)</f>
        <v>-2.927851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4.562308260324591</v>
      </c>
      <c r="N10" s="3">
        <f t="shared" si="1"/>
        <v>5.71348522341889</v>
      </c>
      <c r="O10" s="3">
        <f t="shared" si="2"/>
        <v>7.8871175977032326</v>
      </c>
      <c r="P10" s="3">
        <f t="shared" si="3"/>
        <v>-2.1736323742843426</v>
      </c>
      <c r="Q10" s="5">
        <f t="shared" si="4"/>
        <v>-0.27559274314831</v>
      </c>
      <c r="R10" s="3">
        <f t="shared" si="5"/>
        <v>-63.65586590726528</v>
      </c>
      <c r="S10" s="3">
        <f t="shared" si="6"/>
        <v>-98.423434966411975</v>
      </c>
      <c r="T10" s="3">
        <f t="shared" si="7"/>
        <v>34.767569059146695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2.6638829999999998</v>
      </c>
      <c r="G11" s="3">
        <f>VLOOKUP($A11,'Summary Data (40)'!$C$2:$L$249,6,1)</f>
        <v>1.6</v>
      </c>
      <c r="H11" s="3">
        <f>VLOOKUP($A11,'Summary Data (40)'!$C$2:$L$249,7,1)</f>
        <v>2.4702099999999998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7.6928196422241042</v>
      </c>
      <c r="N11" s="3">
        <f t="shared" si="1"/>
        <v>7.1798948837562371</v>
      </c>
      <c r="O11" s="3">
        <f t="shared" si="2"/>
        <v>1.5015515309172709</v>
      </c>
      <c r="P11" s="3">
        <f t="shared" si="3"/>
        <v>5.678343352838966</v>
      </c>
      <c r="Q11" s="5">
        <f t="shared" si="4"/>
        <v>3.781650669937493</v>
      </c>
      <c r="R11" s="3">
        <f t="shared" si="5"/>
        <v>-85.071579131103505</v>
      </c>
      <c r="S11" s="3">
        <f t="shared" si="6"/>
        <v>19.360477764258437</v>
      </c>
      <c r="T11" s="3">
        <f t="shared" si="7"/>
        <v>104.43205689536194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0.58893260000000003</v>
      </c>
      <c r="G12" s="3">
        <f>VLOOKUP($A12,'Summary Data (40)'!$C$2:$L$249,6,1)</f>
        <v>1.6</v>
      </c>
      <c r="H12" s="3">
        <f>VLOOKUP($A12,'Summary Data (40)'!$C$2:$L$249,7,1)</f>
        <v>-1.20835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3.9738681768074247</v>
      </c>
      <c r="N12" s="3">
        <f t="shared" si="1"/>
        <v>7.0989043155012839</v>
      </c>
      <c r="O12" s="3">
        <f t="shared" si="2"/>
        <v>4.3329067610554466</v>
      </c>
      <c r="P12" s="3">
        <f t="shared" si="3"/>
        <v>2.7659975544458373</v>
      </c>
      <c r="Q12" s="5">
        <f t="shared" si="4"/>
        <v>0.63836996893329689</v>
      </c>
      <c r="R12" s="3">
        <f t="shared" si="5"/>
        <v>-19.074748100261683</v>
      </c>
      <c r="S12" s="3">
        <f t="shared" si="6"/>
        <v>-48.886196613655471</v>
      </c>
      <c r="T12" s="3">
        <f t="shared" si="7"/>
        <v>29.811448513393788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-0.59749920000000001</v>
      </c>
      <c r="G13" s="3">
        <f>VLOOKUP($A13,'Summary Data (40)'!$C$2:$L$249,6,1)</f>
        <v>1.6</v>
      </c>
      <c r="H13" s="3">
        <f>VLOOKUP($A13,'Summary Data (40)'!$C$2:$L$249,7,1)</f>
        <v>1.832352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5.954707874774769</v>
      </c>
      <c r="N13" s="3">
        <f t="shared" si="1"/>
        <v>7.4207950851849187</v>
      </c>
      <c r="O13" s="3">
        <f t="shared" si="2"/>
        <v>4.3718971854333439</v>
      </c>
      <c r="P13" s="3">
        <f t="shared" si="3"/>
        <v>3.0488978997515748</v>
      </c>
      <c r="Q13" s="5">
        <f t="shared" si="4"/>
        <v>0.69738554463498137</v>
      </c>
      <c r="R13" s="3">
        <f t="shared" si="5"/>
        <v>177.02371934116897</v>
      </c>
      <c r="S13" s="3">
        <f t="shared" si="6"/>
        <v>123.6639285764892</v>
      </c>
      <c r="T13" s="3">
        <f t="shared" si="7"/>
        <v>53.359790764679772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3.476925</v>
      </c>
      <c r="G14" s="3">
        <f>VLOOKUP($A14,'Summary Data (40)'!$C$2:$L$249,6,1)</f>
        <v>1.6</v>
      </c>
      <c r="H14" s="3">
        <f>VLOOKUP($A14,'Summary Data (40)'!$C$2:$L$249,7,1)</f>
        <v>-0.25849850000000002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2.078098753458856</v>
      </c>
      <c r="N14" s="3">
        <f t="shared" si="1"/>
        <v>7.5456878412857264</v>
      </c>
      <c r="O14" s="3">
        <f t="shared" si="2"/>
        <v>8.0292617967033557</v>
      </c>
      <c r="P14" s="3">
        <f t="shared" si="3"/>
        <v>-0.48357395541762926</v>
      </c>
      <c r="Q14" s="5">
        <f t="shared" si="4"/>
        <v>-6.0226452650500757E-2</v>
      </c>
      <c r="R14" s="3">
        <f t="shared" si="5"/>
        <v>23.666151625811782</v>
      </c>
      <c r="S14" s="3">
        <f t="shared" si="6"/>
        <v>8.747126063104357</v>
      </c>
      <c r="T14" s="3">
        <f t="shared" si="7"/>
        <v>14.919025562707425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-3.1125409999999998</v>
      </c>
      <c r="G15" s="3">
        <f>VLOOKUP($A15,'Summary Data (40)'!$C$2:$L$249,6,1)</f>
        <v>1.6</v>
      </c>
      <c r="H15" s="3">
        <f>VLOOKUP($A15,'Summary Data (40)'!$C$2:$L$249,7,1)</f>
        <v>-8.6482060000000001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7.2940913608973261</v>
      </c>
      <c r="N15" s="3">
        <f t="shared" si="1"/>
        <v>8.7949513105597692</v>
      </c>
      <c r="O15" s="3">
        <f t="shared" si="2"/>
        <v>1.5015515309172709</v>
      </c>
      <c r="P15" s="3">
        <f t="shared" si="3"/>
        <v>7.2933997796424981</v>
      </c>
      <c r="Q15" s="5">
        <f t="shared" si="4"/>
        <v>4.8572424119118249</v>
      </c>
      <c r="R15" s="3">
        <f t="shared" si="5"/>
        <v>-85.071579131103505</v>
      </c>
      <c r="S15" s="3">
        <f t="shared" si="6"/>
        <v>-83.487920667909307</v>
      </c>
      <c r="T15" s="3">
        <f t="shared" si="7"/>
        <v>1.5836584631941975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1.5288379999999999</v>
      </c>
      <c r="G16" s="3">
        <f>VLOOKUP($A16,'Summary Data (40)'!$C$2:$L$249,6,1)</f>
        <v>1.6</v>
      </c>
      <c r="H16" s="3">
        <f>VLOOKUP($A16,'Summary Data (40)'!$C$2:$L$249,7,1)</f>
        <v>-3.09626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6.0136598907690146</v>
      </c>
      <c r="N16" s="3">
        <f t="shared" si="1"/>
        <v>9.1548514909770109</v>
      </c>
      <c r="O16" s="3">
        <f t="shared" si="2"/>
        <v>4.3329067610554466</v>
      </c>
      <c r="P16" s="3">
        <f t="shared" si="3"/>
        <v>4.8219447299215643</v>
      </c>
      <c r="Q16" s="5">
        <f t="shared" si="4"/>
        <v>1.1128660263963293</v>
      </c>
      <c r="R16" s="3">
        <f t="shared" si="5"/>
        <v>-19.074748100261683</v>
      </c>
      <c r="S16" s="3">
        <f t="shared" si="6"/>
        <v>-52.225619182384783</v>
      </c>
      <c r="T16" s="3">
        <f t="shared" si="7"/>
        <v>33.150871082123103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-9.1909379999999992</v>
      </c>
      <c r="G17" s="3">
        <f>VLOOKUP($A17,'Summary Data (40)'!$C$2:$L$249,6,1)</f>
        <v>1.6</v>
      </c>
      <c r="H17" s="3">
        <f>VLOOKUP($A17,'Summary Data (40)'!$C$2:$L$249,7,1)</f>
        <v>-1.9872570000000001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5.4891645633823902</v>
      </c>
      <c r="N17" s="3">
        <f t="shared" si="1"/>
        <v>13.174654718431636</v>
      </c>
      <c r="O17" s="3">
        <f t="shared" si="2"/>
        <v>8.0641771433916301</v>
      </c>
      <c r="P17" s="3">
        <f t="shared" si="3"/>
        <v>5.1104775750400062</v>
      </c>
      <c r="Q17" s="5">
        <f t="shared" si="4"/>
        <v>0.63372585747671739</v>
      </c>
      <c r="R17" s="3">
        <f t="shared" si="5"/>
        <v>174.57078263739461</v>
      </c>
      <c r="S17" s="3">
        <f t="shared" si="6"/>
        <v>-174.27485309601173</v>
      </c>
      <c r="T17" s="3">
        <f t="shared" si="7"/>
        <v>11.154364266593689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3.729517</v>
      </c>
      <c r="G18" s="3">
        <f>VLOOKUP($A18,'Summary Data (40)'!$C$2:$L$249,6,1)</f>
        <v>1.6</v>
      </c>
      <c r="H18" s="3">
        <f>VLOOKUP($A18,'Summary Data (40)'!$C$2:$L$249,7,1)</f>
        <v>4.6427579999999997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5.3190985096962624</v>
      </c>
      <c r="N18" s="3">
        <f t="shared" si="1"/>
        <v>2.848159519032071</v>
      </c>
      <c r="O18" s="3">
        <f t="shared" si="2"/>
        <v>2.5489458605470614</v>
      </c>
      <c r="P18" s="3">
        <f t="shared" si="3"/>
        <v>0.29921365848500958</v>
      </c>
      <c r="Q18" s="5">
        <f t="shared" si="4"/>
        <v>0.11738721607087864</v>
      </c>
      <c r="R18" s="3">
        <f t="shared" si="5"/>
        <v>-77.654050540796021</v>
      </c>
      <c r="S18" s="3">
        <f t="shared" si="6"/>
        <v>82.809165814366139</v>
      </c>
      <c r="T18" s="3">
        <f t="shared" si="7"/>
        <v>160.46321635516216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4.8180399999999999</v>
      </c>
      <c r="G19" s="3">
        <f>VLOOKUP($A19,'Summary Data (40)'!$C$2:$L$249,6,1)</f>
        <v>1.6</v>
      </c>
      <c r="H19" s="3">
        <f>VLOOKUP($A19,'Summary Data (40)'!$C$2:$L$249,7,1)</f>
        <v>0.17394580000000001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2.1880968227520552</v>
      </c>
      <c r="N19" s="3">
        <f t="shared" si="1"/>
        <v>8.939761386778601</v>
      </c>
      <c r="O19" s="3">
        <f t="shared" si="2"/>
        <v>8.0292617967033557</v>
      </c>
      <c r="P19" s="3">
        <f t="shared" si="3"/>
        <v>0.91049959007524528</v>
      </c>
      <c r="Q19" s="5">
        <f t="shared" si="4"/>
        <v>0.11339767130884648</v>
      </c>
      <c r="R19" s="3">
        <f t="shared" si="5"/>
        <v>23.666151625811782</v>
      </c>
      <c r="S19" s="3">
        <f t="shared" si="6"/>
        <v>10.179490919630164</v>
      </c>
      <c r="T19" s="3">
        <f t="shared" si="7"/>
        <v>13.486660706181619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-0.29040690000000002</v>
      </c>
      <c r="G20" s="3">
        <f>VLOOKUP($A20,'Summary Data (40)'!$C$2:$L$249,6,1)</f>
        <v>1.6</v>
      </c>
      <c r="H20" s="3">
        <f>VLOOKUP($A20,'Summary Data (40)'!$C$2:$L$249,7,1)</f>
        <v>-2.91459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4.0659496352595923</v>
      </c>
      <c r="N20" s="3">
        <f t="shared" si="1"/>
        <v>5.646909099362909</v>
      </c>
      <c r="O20" s="3">
        <f t="shared" si="2"/>
        <v>7.8871175977032326</v>
      </c>
      <c r="P20" s="3">
        <f t="shared" si="3"/>
        <v>-2.2402084983403237</v>
      </c>
      <c r="Q20" s="5">
        <f t="shared" si="4"/>
        <v>-0.28403386542539738</v>
      </c>
      <c r="R20" s="3">
        <f t="shared" si="5"/>
        <v>-63.65586590726528</v>
      </c>
      <c r="S20" s="3">
        <f t="shared" si="6"/>
        <v>-93.110453544187749</v>
      </c>
      <c r="T20" s="3">
        <f t="shared" si="7"/>
        <v>29.454587636922469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5.400309</v>
      </c>
      <c r="G21" s="3">
        <f>VLOOKUP($A21,'Summary Data (40)'!$C$2:$L$249,6,1)</f>
        <v>1.6</v>
      </c>
      <c r="H21" s="3">
        <f>VLOOKUP($A21,'Summary Data (40)'!$C$2:$L$249,7,1)</f>
        <v>4.9471999999999996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5.8123909031895815</v>
      </c>
      <c r="N21" s="3">
        <f t="shared" si="1"/>
        <v>3.729361047348593</v>
      </c>
      <c r="O21" s="3">
        <f t="shared" si="2"/>
        <v>2.5489458605470614</v>
      </c>
      <c r="P21" s="3">
        <f t="shared" si="3"/>
        <v>1.1804151868015316</v>
      </c>
      <c r="Q21" s="5">
        <f t="shared" si="4"/>
        <v>0.46309935611899883</v>
      </c>
      <c r="R21" s="3">
        <f t="shared" si="5"/>
        <v>-77.654050540796021</v>
      </c>
      <c r="S21" s="3">
        <f t="shared" si="6"/>
        <v>57.070436998632282</v>
      </c>
      <c r="T21" s="3">
        <f t="shared" si="7"/>
        <v>134.72448753942831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-6.8165259999999996</v>
      </c>
      <c r="G22" s="3">
        <f>VLOOKUP($A22,'Summary Data (40)'!$C$2:$L$249,6,1)</f>
        <v>1.6</v>
      </c>
      <c r="H22" s="3">
        <f>VLOOKUP($A22,'Summary Data (40)'!$C$2:$L$249,7,1)</f>
        <v>-6.7458869999999997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6.0460400982333056</v>
      </c>
      <c r="N22" s="3">
        <f t="shared" si="1"/>
        <v>7.3521856658714073</v>
      </c>
      <c r="O22" s="3">
        <f t="shared" si="2"/>
        <v>1.5015515309172709</v>
      </c>
      <c r="P22" s="3">
        <f t="shared" si="3"/>
        <v>5.8506341349541362</v>
      </c>
      <c r="Q22" s="5">
        <f t="shared" si="4"/>
        <v>3.8963925076751038</v>
      </c>
      <c r="R22" s="3">
        <f t="shared" si="5"/>
        <v>-85.071579131103505</v>
      </c>
      <c r="S22" s="3">
        <f t="shared" si="6"/>
        <v>-111.60004979095069</v>
      </c>
      <c r="T22" s="3">
        <f t="shared" si="7"/>
        <v>26.528470659847187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-2.2366069999999998</v>
      </c>
      <c r="G23" s="3">
        <f>VLOOKUP($A23,'Summary Data (40)'!$C$2:$L$249,6,1)</f>
        <v>1.6</v>
      </c>
      <c r="H23" s="3">
        <f>VLOOKUP($A23,'Summary Data (40)'!$C$2:$L$249,7,1)</f>
        <v>1.105723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5.4036575120170225</v>
      </c>
      <c r="N23" s="3">
        <f t="shared" si="1"/>
        <v>7.9241383173931279</v>
      </c>
      <c r="O23" s="3">
        <f t="shared" si="2"/>
        <v>4.3718971854333439</v>
      </c>
      <c r="P23" s="3">
        <f t="shared" si="3"/>
        <v>3.552241131959784</v>
      </c>
      <c r="Q23" s="5">
        <f t="shared" si="4"/>
        <v>0.81251707926605432</v>
      </c>
      <c r="R23" s="3">
        <f t="shared" si="5"/>
        <v>177.02371934116897</v>
      </c>
      <c r="S23" s="3">
        <f t="shared" si="6"/>
        <v>136.5487624422712</v>
      </c>
      <c r="T23" s="3">
        <f t="shared" si="7"/>
        <v>40.474956898897773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-1.234753</v>
      </c>
      <c r="G24" s="3">
        <f>VLOOKUP($A24,'Summary Data (40)'!$C$2:$L$249,6,1)</f>
        <v>1.6</v>
      </c>
      <c r="H24" s="3">
        <f>VLOOKUP($A24,'Summary Data (40)'!$C$2:$L$249,7,1)</f>
        <v>7.9128270000000001E-2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4.9578644802497562</v>
      </c>
      <c r="N24" s="3">
        <f t="shared" si="1"/>
        <v>4.2137308088322625</v>
      </c>
      <c r="O24" s="3">
        <f t="shared" si="2"/>
        <v>8.8659173242253964</v>
      </c>
      <c r="P24" s="3">
        <f t="shared" si="3"/>
        <v>-4.6521865153931339</v>
      </c>
      <c r="Q24" s="5">
        <f t="shared" si="4"/>
        <v>-0.52472703559748002</v>
      </c>
      <c r="R24" s="3">
        <f t="shared" si="5"/>
        <v>111.35858600069317</v>
      </c>
      <c r="S24" s="3">
        <f t="shared" si="6"/>
        <v>95.238937216869061</v>
      </c>
      <c r="T24" s="3">
        <f t="shared" si="7"/>
        <v>16.119648783824104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-7.1999040000000001</v>
      </c>
      <c r="G25" s="3">
        <f>VLOOKUP($A25,'Summary Data (40)'!$C$2:$L$249,6,1)</f>
        <v>1.6</v>
      </c>
      <c r="H25" s="3">
        <f>VLOOKUP($A25,'Summary Data (40)'!$C$2:$L$249,7,1)</f>
        <v>-1.7552570000000001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3.5989554214056332</v>
      </c>
      <c r="N25" s="3">
        <f t="shared" si="1"/>
        <v>11.170455208596694</v>
      </c>
      <c r="O25" s="3">
        <f t="shared" si="2"/>
        <v>8.0641771433916301</v>
      </c>
      <c r="P25" s="3">
        <f t="shared" si="3"/>
        <v>3.1062780652050641</v>
      </c>
      <c r="Q25" s="5">
        <f t="shared" si="4"/>
        <v>0.3851946714427737</v>
      </c>
      <c r="R25" s="3">
        <f t="shared" si="5"/>
        <v>174.57078263739461</v>
      </c>
      <c r="S25" s="3">
        <f t="shared" si="6"/>
        <v>-174.44013871008818</v>
      </c>
      <c r="T25" s="3">
        <f t="shared" si="7"/>
        <v>10.989078652517208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1.39506</v>
      </c>
      <c r="G26" s="3">
        <f>VLOOKUP($A26,'Summary Data (40)'!$C$2:$L$249,6,1)</f>
        <v>1.6</v>
      </c>
      <c r="H26" s="3">
        <f>VLOOKUP($A26,'Summary Data (40)'!$C$2:$L$249,7,1)</f>
        <v>-1.8804380000000001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4.8065222125195683</v>
      </c>
      <c r="N26" s="3">
        <f t="shared" si="1"/>
        <v>8.1370145996823666</v>
      </c>
      <c r="O26" s="3">
        <f t="shared" si="2"/>
        <v>4.3329067610554466</v>
      </c>
      <c r="P26" s="3">
        <f t="shared" si="3"/>
        <v>3.80410783862692</v>
      </c>
      <c r="Q26" s="5">
        <f t="shared" si="4"/>
        <v>0.87795746560220989</v>
      </c>
      <c r="R26" s="3">
        <f t="shared" si="5"/>
        <v>-19.074748100261683</v>
      </c>
      <c r="S26" s="3">
        <f t="shared" si="6"/>
        <v>-47.721441828638085</v>
      </c>
      <c r="T26" s="3">
        <f t="shared" si="7"/>
        <v>28.646693728376402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-4.9946270000000004</v>
      </c>
      <c r="G27" s="3">
        <f>VLOOKUP($A27,'Summary Data (40)'!$C$2:$L$249,6,1)</f>
        <v>1.6</v>
      </c>
      <c r="H27" s="3">
        <f>VLOOKUP($A27,'Summary Data (40)'!$C$2:$L$249,7,1)</f>
        <v>1.1402840000000001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3.136346422795957</v>
      </c>
      <c r="N27" s="3">
        <f t="shared" si="1"/>
        <v>6.6945476341411601</v>
      </c>
      <c r="O27" s="3">
        <f t="shared" si="2"/>
        <v>8.8659173242253964</v>
      </c>
      <c r="P27" s="3">
        <f t="shared" si="3"/>
        <v>-2.1713696900842363</v>
      </c>
      <c r="Q27" s="5">
        <f t="shared" si="4"/>
        <v>-0.24491201650968994</v>
      </c>
      <c r="R27" s="3">
        <f t="shared" si="5"/>
        <v>111.35858600069317</v>
      </c>
      <c r="S27" s="3">
        <f t="shared" si="6"/>
        <v>128.25079629896081</v>
      </c>
      <c r="T27" s="3">
        <f t="shared" si="7"/>
        <v>16.892210298267642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6.5270429999999999</v>
      </c>
      <c r="G28" s="3">
        <f>VLOOKUP($A28,'Summary Data (40)'!$C$2:$L$249,6,1)</f>
        <v>1.6</v>
      </c>
      <c r="H28" s="3">
        <f>VLOOKUP($A28,'Summary Data (40)'!$C$2:$L$249,7,1)</f>
        <v>3.1819500000000001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4.6548624983289253</v>
      </c>
      <c r="N28" s="3">
        <f t="shared" si="1"/>
        <v>3.4367245668439881</v>
      </c>
      <c r="O28" s="3">
        <f t="shared" si="2"/>
        <v>2.5489458605470614</v>
      </c>
      <c r="P28" s="3">
        <f t="shared" si="3"/>
        <v>0.88777870629692668</v>
      </c>
      <c r="Q28" s="5">
        <f t="shared" si="4"/>
        <v>0.34829249221730796</v>
      </c>
      <c r="R28" s="3">
        <f t="shared" si="5"/>
        <v>-77.654050540796021</v>
      </c>
      <c r="S28" s="3">
        <f t="shared" si="6"/>
        <v>23.40112786713398</v>
      </c>
      <c r="T28" s="3">
        <f t="shared" si="7"/>
        <v>101.05517840793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-2.1509839999999998</v>
      </c>
      <c r="G29" s="3">
        <f>VLOOKUP($A29,'Summary Data (40)'!$C$2:$L$249,6,1)</f>
        <v>1.6</v>
      </c>
      <c r="H29" s="3">
        <f>VLOOKUP($A29,'Summary Data (40)'!$C$2:$L$249,7,1)</f>
        <v>-1.5507299999999999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4.7926126725572136</v>
      </c>
      <c r="N29" s="3">
        <f t="shared" si="1"/>
        <v>6.0084651641792837</v>
      </c>
      <c r="O29" s="3">
        <f t="shared" si="2"/>
        <v>4.3329067610554466</v>
      </c>
      <c r="P29" s="3">
        <f t="shared" si="3"/>
        <v>1.6755584031238371</v>
      </c>
      <c r="Q29" s="5">
        <f t="shared" si="4"/>
        <v>0.38670539098230911</v>
      </c>
      <c r="R29" s="3">
        <f t="shared" si="5"/>
        <v>-19.074748100261683</v>
      </c>
      <c r="S29" s="3">
        <f t="shared" si="6"/>
        <v>-71.283649777436324</v>
      </c>
      <c r="T29" s="3">
        <f t="shared" si="7"/>
        <v>52.208901677174637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-0.97762150000000003</v>
      </c>
      <c r="G30" s="3">
        <f>VLOOKUP($A30,'Summary Data (40)'!$C$2:$L$249,6,1)</f>
        <v>1.6</v>
      </c>
      <c r="H30" s="3">
        <f>VLOOKUP($A30,'Summary Data (40)'!$C$2:$L$249,7,1)</f>
        <v>3.2432349999999999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7.3613413521237581</v>
      </c>
      <c r="N30" s="3">
        <f t="shared" si="1"/>
        <v>8.8180932820245914</v>
      </c>
      <c r="O30" s="3">
        <f t="shared" si="2"/>
        <v>4.3718971854333439</v>
      </c>
      <c r="P30" s="3">
        <f t="shared" si="3"/>
        <v>4.4461960965912475</v>
      </c>
      <c r="Q30" s="5">
        <f t="shared" si="4"/>
        <v>1.0169946611291452</v>
      </c>
      <c r="R30" s="3">
        <f t="shared" si="5"/>
        <v>177.02371934116897</v>
      </c>
      <c r="S30" s="3">
        <f t="shared" si="6"/>
        <v>120.63659427294542</v>
      </c>
      <c r="T30" s="3">
        <f t="shared" si="7"/>
        <v>56.387125068223554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-5.0143279999999999</v>
      </c>
      <c r="G31" s="3">
        <f>VLOOKUP($A31,'Summary Data (40)'!$C$2:$L$249,6,1)</f>
        <v>1.6</v>
      </c>
      <c r="H31" s="3">
        <f>VLOOKUP($A31,'Summary Data (40)'!$C$2:$L$249,7,1)</f>
        <v>-6.505344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5.2029872175433995</v>
      </c>
      <c r="N31" s="3">
        <f t="shared" si="1"/>
        <v>6.6570542742206928</v>
      </c>
      <c r="O31" s="3">
        <f t="shared" si="2"/>
        <v>1.5015515309172709</v>
      </c>
      <c r="P31" s="3">
        <f t="shared" si="3"/>
        <v>5.1555027433034217</v>
      </c>
      <c r="Q31" s="5">
        <f t="shared" si="4"/>
        <v>3.4334504258765048</v>
      </c>
      <c r="R31" s="3">
        <f t="shared" si="5"/>
        <v>-85.071579131103505</v>
      </c>
      <c r="S31" s="3">
        <f t="shared" si="6"/>
        <v>-97.80748898635899</v>
      </c>
      <c r="T31" s="3">
        <f t="shared" si="7"/>
        <v>12.735909855255485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-6.5123430000000004</v>
      </c>
      <c r="G32" s="3">
        <f>VLOOKUP($A32,'Summary Data (40)'!$C$2:$L$249,6,1)</f>
        <v>1.6</v>
      </c>
      <c r="H32" s="3">
        <f>VLOOKUP($A32,'Summary Data (40)'!$C$2:$L$249,7,1)</f>
        <v>0.72553429999999997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2.4849860635676593</v>
      </c>
      <c r="N32" s="3">
        <f t="shared" si="1"/>
        <v>10.52368534715503</v>
      </c>
      <c r="O32" s="3">
        <f t="shared" si="2"/>
        <v>8.0641771433916301</v>
      </c>
      <c r="P32" s="3">
        <f t="shared" si="3"/>
        <v>2.4595082037634004</v>
      </c>
      <c r="Q32" s="5">
        <f t="shared" si="4"/>
        <v>0.30499183736048002</v>
      </c>
      <c r="R32" s="3">
        <f t="shared" si="5"/>
        <v>174.57078263739461</v>
      </c>
      <c r="S32" s="3">
        <f t="shared" si="6"/>
        <v>172.36314417797803</v>
      </c>
      <c r="T32" s="3">
        <f t="shared" si="7"/>
        <v>2.2076384594165859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0.37048320000000001</v>
      </c>
      <c r="G33" s="3">
        <f>VLOOKUP($A33,'Summary Data (40)'!$C$2:$L$249,6,1)</f>
        <v>1.6</v>
      </c>
      <c r="H33" s="3">
        <f>VLOOKUP($A33,'Summary Data (40)'!$C$2:$L$249,7,1)</f>
        <v>-3.0878450000000002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3.3870638203475356</v>
      </c>
      <c r="N33" s="3">
        <f t="shared" si="1"/>
        <v>5.8226455020984442</v>
      </c>
      <c r="O33" s="3">
        <f t="shared" si="2"/>
        <v>7.8871175977032326</v>
      </c>
      <c r="P33" s="3">
        <f t="shared" si="3"/>
        <v>-2.0644720956047884</v>
      </c>
      <c r="Q33" s="5">
        <f t="shared" si="4"/>
        <v>-0.26175241715756498</v>
      </c>
      <c r="R33" s="3">
        <f t="shared" si="5"/>
        <v>-63.65586590726528</v>
      </c>
      <c r="S33" s="3">
        <f t="shared" si="6"/>
        <v>-86.509669257662225</v>
      </c>
      <c r="T33" s="3">
        <f t="shared" si="7"/>
        <v>22.853803350396944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4.0639139999999996</v>
      </c>
      <c r="G34" s="3">
        <f>VLOOKUP($A34,'Summary Data (40)'!$C$2:$L$249,6,1)</f>
        <v>1.6</v>
      </c>
      <c r="H34" s="3">
        <f>VLOOKUP($A34,'Summary Data (40)'!$C$2:$L$249,7,1)</f>
        <v>-0.1103987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2.0474930779266849</v>
      </c>
      <c r="N34" s="3">
        <f t="shared" si="1"/>
        <v>8.1485718991709017</v>
      </c>
      <c r="O34" s="3">
        <f t="shared" si="2"/>
        <v>8.0292617967033557</v>
      </c>
      <c r="P34" s="3">
        <f t="shared" si="3"/>
        <v>0.11931010246754603</v>
      </c>
      <c r="Q34" s="5">
        <f t="shared" si="4"/>
        <v>1.4859411174827083E-2</v>
      </c>
      <c r="R34" s="3">
        <f t="shared" si="5"/>
        <v>23.666151625811782</v>
      </c>
      <c r="S34" s="3">
        <f t="shared" si="6"/>
        <v>9.1487033596884224</v>
      </c>
      <c r="T34" s="3">
        <f t="shared" si="7"/>
        <v>14.51744826612336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-7.6218899999999996</v>
      </c>
      <c r="G35" s="3">
        <f>VLOOKUP($A35,'Summary Data (40)'!$C$2:$L$249,6,1)</f>
        <v>1.6</v>
      </c>
      <c r="H35" s="3">
        <f>VLOOKUP($A35,'Summary Data (40)'!$C$2:$L$249,7,1)</f>
        <v>-0.33060089999999998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3.5369869223932402</v>
      </c>
      <c r="N35" s="3">
        <f t="shared" si="1"/>
        <v>11.544968529873989</v>
      </c>
      <c r="O35" s="3">
        <f t="shared" si="2"/>
        <v>8.0641771433916301</v>
      </c>
      <c r="P35" s="3">
        <f t="shared" si="3"/>
        <v>3.480791386482359</v>
      </c>
      <c r="Q35" s="5">
        <f t="shared" si="4"/>
        <v>0.43163627541773075</v>
      </c>
      <c r="R35" s="3">
        <f t="shared" si="5"/>
        <v>174.57078263739461</v>
      </c>
      <c r="S35" s="3">
        <f t="shared" si="6"/>
        <v>178.30048038735995</v>
      </c>
      <c r="T35" s="3">
        <f t="shared" si="7"/>
        <v>3.7296977499653394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6.2382179999999998</v>
      </c>
      <c r="G36" s="3">
        <f>VLOOKUP($A36,'Summary Data (40)'!$C$2:$L$249,6,1)</f>
        <v>1.6</v>
      </c>
      <c r="H36" s="3">
        <f>VLOOKUP($A36,'Summary Data (40)'!$C$2:$L$249,7,1)</f>
        <v>2.7397450000000001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4.1267711352277585</v>
      </c>
      <c r="N36" s="3">
        <f t="shared" si="1"/>
        <v>3.0101382896054791</v>
      </c>
      <c r="O36" s="3">
        <f t="shared" si="2"/>
        <v>2.5489458605470614</v>
      </c>
      <c r="P36" s="3">
        <f t="shared" si="3"/>
        <v>0.46119242905841773</v>
      </c>
      <c r="Q36" s="5">
        <f t="shared" si="4"/>
        <v>0.18093457228606472</v>
      </c>
      <c r="R36" s="3">
        <f t="shared" si="5"/>
        <v>-77.654050540796021</v>
      </c>
      <c r="S36" s="3">
        <f t="shared" si="6"/>
        <v>17.851182130135548</v>
      </c>
      <c r="T36" s="3">
        <f t="shared" si="7"/>
        <v>95.505232670931576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1.8699220000000001</v>
      </c>
      <c r="G37" s="3">
        <f>VLOOKUP($A37,'Summary Data (40)'!$C$2:$L$249,6,1)</f>
        <v>1.6</v>
      </c>
      <c r="H37" s="3">
        <f>VLOOKUP($A37,'Summary Data (40)'!$C$2:$L$249,7,1)</f>
        <v>-1.6869829999999999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4.7847463682386548</v>
      </c>
      <c r="N37" s="3">
        <f t="shared" si="1"/>
        <v>8.3272686905355098</v>
      </c>
      <c r="O37" s="3">
        <f t="shared" si="2"/>
        <v>4.3329067610554466</v>
      </c>
      <c r="P37" s="3">
        <f t="shared" si="3"/>
        <v>3.9943619294800632</v>
      </c>
      <c r="Q37" s="5">
        <f t="shared" si="4"/>
        <v>0.92186657820143869</v>
      </c>
      <c r="R37" s="3">
        <f t="shared" si="5"/>
        <v>-19.074748100261683</v>
      </c>
      <c r="S37" s="3">
        <f t="shared" si="6"/>
        <v>-44.406725821804578</v>
      </c>
      <c r="T37" s="3">
        <f t="shared" si="7"/>
        <v>25.331977721542895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1.1686529999999999</v>
      </c>
      <c r="G38" s="3">
        <f>VLOOKUP($A38,'Summary Data (40)'!$C$2:$L$249,6,1)</f>
        <v>1.6</v>
      </c>
      <c r="H38" s="3">
        <f>VLOOKUP($A38,'Summary Data (40)'!$C$2:$L$249,7,1)</f>
        <v>-0.31471979999999999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3.066492296113108</v>
      </c>
      <c r="N38" s="3">
        <f t="shared" si="1"/>
        <v>5.2640116351810091</v>
      </c>
      <c r="O38" s="3">
        <f t="shared" si="2"/>
        <v>8.0292617967033557</v>
      </c>
      <c r="P38" s="3">
        <f t="shared" si="3"/>
        <v>-2.7652501615223466</v>
      </c>
      <c r="Q38" s="5">
        <f t="shared" si="4"/>
        <v>-0.34439656241594957</v>
      </c>
      <c r="R38" s="3">
        <f t="shared" si="5"/>
        <v>23.666151625811782</v>
      </c>
      <c r="S38" s="3">
        <f t="shared" si="6"/>
        <v>11.964734947963112</v>
      </c>
      <c r="T38" s="3">
        <f t="shared" si="7"/>
        <v>11.70141667784867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-5.5558249999999996</v>
      </c>
      <c r="G39" s="3">
        <f>VLOOKUP($A39,'Summary Data (40)'!$C$2:$L$249,6,1)</f>
        <v>1.6</v>
      </c>
      <c r="H39" s="3">
        <f>VLOOKUP($A39,'Summary Data (40)'!$C$2:$L$249,7,1)</f>
        <v>1.9783850000000001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2.3783203818766716</v>
      </c>
      <c r="N39" s="3">
        <f t="shared" si="1"/>
        <v>9.8378454220855698</v>
      </c>
      <c r="O39" s="3">
        <f t="shared" si="2"/>
        <v>8.0641771433916301</v>
      </c>
      <c r="P39" s="3">
        <f t="shared" si="3"/>
        <v>1.7736682786939397</v>
      </c>
      <c r="Q39" s="5">
        <f t="shared" si="4"/>
        <v>0.21994411173710535</v>
      </c>
      <c r="R39" s="3">
        <f t="shared" si="5"/>
        <v>174.57078263739461</v>
      </c>
      <c r="S39" s="3">
        <f t="shared" si="6"/>
        <v>164.3649658408813</v>
      </c>
      <c r="T39" s="3">
        <f t="shared" si="7"/>
        <v>10.205816796513318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1.2538480000000001</v>
      </c>
      <c r="G40" s="3">
        <f>VLOOKUP($A40,'Summary Data (40)'!$C$2:$L$249,6,1)</f>
        <v>1.6</v>
      </c>
      <c r="H40" s="3">
        <f>VLOOKUP($A40,'Summary Data (40)'!$C$2:$L$249,7,1)</f>
        <v>-5.6530279999999999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2.6135963682037819</v>
      </c>
      <c r="N40" s="3">
        <f t="shared" si="1"/>
        <v>8.4679906579948447</v>
      </c>
      <c r="O40" s="3">
        <f t="shared" si="2"/>
        <v>7.8871175977032326</v>
      </c>
      <c r="P40" s="3">
        <f t="shared" si="3"/>
        <v>0.58087306029161212</v>
      </c>
      <c r="Q40" s="5">
        <f t="shared" si="4"/>
        <v>7.3648332625440405E-2</v>
      </c>
      <c r="R40" s="3">
        <f t="shared" si="5"/>
        <v>-63.65586590726528</v>
      </c>
      <c r="S40" s="3">
        <f t="shared" si="6"/>
        <v>-81.594403315134841</v>
      </c>
      <c r="T40" s="3">
        <f t="shared" si="7"/>
        <v>17.938537407869561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-2.2524899999999999</v>
      </c>
      <c r="G41" s="3">
        <f>VLOOKUP($A41,'Summary Data (40)'!$C$2:$L$249,6,1)</f>
        <v>1.6</v>
      </c>
      <c r="H41" s="3">
        <f>VLOOKUP($A41,'Summary Data (40)'!$C$2:$L$249,7,1)</f>
        <v>2.7363059999999999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2.3035832144153159</v>
      </c>
      <c r="N41" s="3">
        <f t="shared" si="1"/>
        <v>6.9953399724199254</v>
      </c>
      <c r="O41" s="3">
        <f t="shared" si="2"/>
        <v>8.8659173242253964</v>
      </c>
      <c r="P41" s="3">
        <f t="shared" si="3"/>
        <v>-1.8705773518054709</v>
      </c>
      <c r="Q41" s="5">
        <f t="shared" si="4"/>
        <v>-0.21098520135014917</v>
      </c>
      <c r="R41" s="3">
        <f t="shared" si="5"/>
        <v>111.35858600069317</v>
      </c>
      <c r="S41" s="3">
        <f t="shared" si="6"/>
        <v>101.56556660780778</v>
      </c>
      <c r="T41" s="3">
        <f t="shared" si="7"/>
        <v>9.7930193928853839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0.71497616229069971</v>
      </c>
      <c r="T42" s="3">
        <f>AVERAGE(T2:T41)</f>
        <v>39.260227524817026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2017-09-13T11:28:06Z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