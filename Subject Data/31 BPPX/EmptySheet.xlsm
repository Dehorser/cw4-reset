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31 BPPX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E39" i="3" l="1"/>
  <c r="C4" i="3"/>
  <c r="C13" i="3"/>
  <c r="S13" i="3" s="1"/>
  <c r="J18" i="3"/>
  <c r="D4" i="3"/>
  <c r="C12" i="3"/>
  <c r="D13" i="3"/>
  <c r="C39" i="3"/>
  <c r="S39" i="3" s="1"/>
  <c r="D36" i="3"/>
  <c r="L40" i="3"/>
  <c r="D3" i="3"/>
  <c r="L7" i="3"/>
  <c r="L9" i="3"/>
  <c r="E12" i="3"/>
  <c r="N12" i="3" s="1"/>
  <c r="C22" i="3"/>
  <c r="C28" i="3"/>
  <c r="S28" i="3" s="1"/>
  <c r="J29" i="3"/>
  <c r="J5" i="3"/>
  <c r="M5" i="3" s="1"/>
  <c r="E22" i="3"/>
  <c r="L25" i="3"/>
  <c r="M25" i="3" s="1"/>
  <c r="E28" i="3"/>
  <c r="K29" i="3"/>
  <c r="D35" i="3"/>
  <c r="C36" i="3"/>
  <c r="N36" i="3" s="1"/>
  <c r="L3" i="3"/>
  <c r="K17" i="3"/>
  <c r="C40" i="3"/>
  <c r="N40" i="3" s="1"/>
  <c r="J4" i="3"/>
  <c r="C9" i="3"/>
  <c r="N9" i="3" s="1"/>
  <c r="L4" i="3"/>
  <c r="D8" i="3"/>
  <c r="D9" i="3"/>
  <c r="J13" i="3"/>
  <c r="J14" i="3"/>
  <c r="E15" i="3"/>
  <c r="L16" i="3"/>
  <c r="L20" i="3"/>
  <c r="J25" i="3"/>
  <c r="C32" i="3"/>
  <c r="E33" i="3"/>
  <c r="J36" i="3"/>
  <c r="J40" i="3"/>
  <c r="D16" i="3"/>
  <c r="K21" i="3"/>
  <c r="J27" i="3"/>
  <c r="J7" i="3"/>
  <c r="J9" i="3"/>
  <c r="K10" i="3"/>
  <c r="L13" i="3"/>
  <c r="M13" i="3" s="1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L17" i="3"/>
  <c r="M17" i="3" s="1"/>
  <c r="C20" i="3"/>
  <c r="S20" i="3" s="1"/>
  <c r="L21" i="3"/>
  <c r="J23" i="3"/>
  <c r="C24" i="3"/>
  <c r="S24" i="3" s="1"/>
  <c r="C26" i="3"/>
  <c r="D27" i="3"/>
  <c r="K28" i="3"/>
  <c r="C30" i="3"/>
  <c r="D31" i="3"/>
  <c r="S32" i="3"/>
  <c r="K32" i="3"/>
  <c r="J33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E18" i="3"/>
  <c r="D18" i="3"/>
  <c r="M21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E41" i="3"/>
  <c r="D41" i="3"/>
  <c r="L34" i="3"/>
  <c r="K34" i="3"/>
  <c r="L38" i="3"/>
  <c r="K38" i="3"/>
  <c r="M33" i="3"/>
  <c r="S34" i="3"/>
  <c r="J34" i="3"/>
  <c r="K35" i="3"/>
  <c r="J35" i="3"/>
  <c r="J38" i="3"/>
  <c r="K39" i="3"/>
  <c r="J39" i="3"/>
  <c r="M40" i="3"/>
  <c r="O10" i="3" l="1"/>
  <c r="N28" i="3"/>
  <c r="O17" i="3"/>
  <c r="R36" i="3"/>
  <c r="T36" i="3" s="1"/>
  <c r="S18" i="3"/>
  <c r="S36" i="3"/>
  <c r="M7" i="3"/>
  <c r="M4" i="3"/>
  <c r="N30" i="3"/>
  <c r="M36" i="3"/>
  <c r="O13" i="3"/>
  <c r="P13" i="3" s="1"/>
  <c r="Q13" i="3" s="1"/>
  <c r="N20" i="3"/>
  <c r="O5" i="3"/>
  <c r="P5" i="3" s="1"/>
  <c r="Q5" i="3" s="1"/>
  <c r="M23" i="3"/>
  <c r="N32" i="3"/>
  <c r="R4" i="3"/>
  <c r="T4" i="3" s="1"/>
  <c r="O37" i="3"/>
  <c r="O33" i="3"/>
  <c r="M2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R31" i="3"/>
  <c r="T31" i="3" s="1"/>
  <c r="R27" i="3"/>
  <c r="R37" i="3"/>
  <c r="O30" i="3"/>
  <c r="P30" i="3" s="1"/>
  <c r="Q30" i="3" s="1"/>
  <c r="N41" i="3"/>
  <c r="M20" i="3"/>
  <c r="O20" i="3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S37" i="3"/>
  <c r="N27" i="3"/>
  <c r="P27" i="3" s="1"/>
  <c r="Q27" i="3" s="1"/>
  <c r="N37" i="3"/>
  <c r="P37" i="3" s="1"/>
  <c r="Q37" i="3" s="1"/>
  <c r="R33" i="3"/>
  <c r="X9" i="3"/>
  <c r="Z9" i="3"/>
  <c r="O14" i="3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14" i="3" l="1"/>
  <c r="Q14" i="3" s="1"/>
  <c r="T7" i="3"/>
  <c r="P32" i="3"/>
  <c r="Q32" i="3" s="1"/>
  <c r="P15" i="3"/>
  <c r="Q15" i="3" s="1"/>
  <c r="P20" i="3"/>
  <c r="Q20" i="3" s="1"/>
  <c r="T26" i="3"/>
  <c r="T33" i="3"/>
  <c r="T27" i="3"/>
  <c r="T38" i="3"/>
  <c r="T10" i="3"/>
  <c r="P25" i="3"/>
  <c r="Q25" i="3" s="1"/>
  <c r="T11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<sst xmlns="http://schemas.openxmlformats.org/spreadsheetml/2006/main" count="394" uniqueCount="37">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</sst>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A3" sqref="A2:XFD3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42980.705949074072</v>
      </c>
      <c r="B2">
        <v>141.4419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1.55</v>
      </c>
      <c r="I2">
        <v>-4.117</v>
      </c>
      <c r="J2">
        <v>4.2736340000000004</v>
      </c>
      <c r="K2">
        <v>353.68099999999998</v>
      </c>
      <c r="L2">
        <v>358.9228</v>
      </c>
    </row>
    <row r="3" spans="1:12" x14ac:dyDescent="0.2">
      <c r="A3" s="1">
        <v>42980.706099537034</v>
      </c>
      <c r="B3">
        <v>154.9496</v>
      </c>
      <c r="C3">
        <v>0</v>
      </c>
      <c r="D3" t="s">
        <v>35</v>
      </c>
      <c r="E3" t="s">
        <v>0</v>
      </c>
      <c r="F3" t="s">
        <v>1</v>
      </c>
      <c r="G3">
        <v>-0.69642079999999995</v>
      </c>
      <c r="H3">
        <v>1.55</v>
      </c>
      <c r="I3">
        <v>-4.1176880000000002</v>
      </c>
      <c r="J3">
        <v>6.3224780000000003</v>
      </c>
      <c r="K3">
        <v>1.7563850000000001</v>
      </c>
      <c r="L3">
        <v>358.3528</v>
      </c>
    </row>
    <row r="4" spans="1:12" x14ac:dyDescent="0.2">
      <c r="A4" s="1">
        <v>42980.706469907411</v>
      </c>
      <c r="B4">
        <v>186.2835</v>
      </c>
      <c r="C4">
        <v>0</v>
      </c>
      <c r="D4" t="s">
        <v>36</v>
      </c>
      <c r="E4" t="s">
        <v>0</v>
      </c>
      <c r="F4" t="s">
        <v>1</v>
      </c>
      <c r="G4">
        <v>-10.25502</v>
      </c>
      <c r="H4">
        <v>1.55</v>
      </c>
      <c r="I4">
        <v>-4.1306890000000003</v>
      </c>
      <c r="J4">
        <v>5.4712240000000003</v>
      </c>
      <c r="K4">
        <v>182.09479999999999</v>
      </c>
      <c r="L4">
        <v>358.84460000000001</v>
      </c>
    </row>
    <row r="5" spans="1:12" x14ac:dyDescent="0.2">
      <c r="A5" s="1">
        <v>42980.706678240742</v>
      </c>
      <c r="B5">
        <v>204.48009999999999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1.55</v>
      </c>
      <c r="I5">
        <v>-4.3440000000000003</v>
      </c>
      <c r="J5">
        <v>1.947417</v>
      </c>
      <c r="K5">
        <v>166.37549999999999</v>
      </c>
      <c r="L5">
        <v>358.1225</v>
      </c>
    </row>
    <row r="6" spans="1:12" x14ac:dyDescent="0.2">
      <c r="A6" s="1">
        <v>42980.706782407404</v>
      </c>
      <c r="B6">
        <v>213.43520000000001</v>
      </c>
      <c r="C6">
        <v>1</v>
      </c>
      <c r="D6" t="s">
        <v>35</v>
      </c>
      <c r="E6" t="s">
        <v>2</v>
      </c>
      <c r="F6" t="s">
        <v>0</v>
      </c>
      <c r="G6">
        <v>3.5559850000000002</v>
      </c>
      <c r="H6">
        <v>1.55</v>
      </c>
      <c r="I6">
        <v>-4.3678990000000004</v>
      </c>
      <c r="J6">
        <v>7.3059430000000001</v>
      </c>
      <c r="K6">
        <v>194.46600000000001</v>
      </c>
      <c r="L6">
        <v>357.2208</v>
      </c>
    </row>
    <row r="7" spans="1:12" x14ac:dyDescent="0.2">
      <c r="A7" s="1">
        <v>42980.706967592596</v>
      </c>
      <c r="B7">
        <v>229.82239999999999</v>
      </c>
      <c r="C7">
        <v>1</v>
      </c>
      <c r="D7" t="s">
        <v>36</v>
      </c>
      <c r="E7" t="s">
        <v>2</v>
      </c>
      <c r="F7" t="s">
        <v>0</v>
      </c>
      <c r="G7">
        <v>-1.5125299999999999</v>
      </c>
      <c r="H7">
        <v>1.55</v>
      </c>
      <c r="I7">
        <v>2.4879850000000001</v>
      </c>
      <c r="J7">
        <v>8.5307700000000004</v>
      </c>
      <c r="K7">
        <v>195.745</v>
      </c>
      <c r="L7">
        <v>357.02719999999999</v>
      </c>
    </row>
    <row r="8" spans="1:12" x14ac:dyDescent="0.2">
      <c r="A8" s="1">
        <v>42980.707002314812</v>
      </c>
      <c r="B8">
        <v>232.95269999999999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1.55</v>
      </c>
      <c r="I8">
        <v>1.8169999999999999</v>
      </c>
      <c r="J8">
        <v>5.4352660000000004</v>
      </c>
      <c r="K8">
        <v>208.3426</v>
      </c>
      <c r="L8">
        <v>356.3639</v>
      </c>
    </row>
    <row r="9" spans="1:12" x14ac:dyDescent="0.2">
      <c r="A9" s="1">
        <v>42980.707280092596</v>
      </c>
      <c r="B9">
        <v>256.70530000000002</v>
      </c>
      <c r="C9">
        <v>2</v>
      </c>
      <c r="D9" t="s">
        <v>35</v>
      </c>
      <c r="E9" t="s">
        <v>3</v>
      </c>
      <c r="F9" t="s">
        <v>4</v>
      </c>
      <c r="G9">
        <v>3.3385509999999998</v>
      </c>
      <c r="H9">
        <v>1.55</v>
      </c>
      <c r="I9">
        <v>1.89195</v>
      </c>
      <c r="J9">
        <v>23.106179999999998</v>
      </c>
      <c r="K9">
        <v>291.5403</v>
      </c>
      <c r="L9">
        <v>353.32819999999998</v>
      </c>
    </row>
    <row r="10" spans="1:12" x14ac:dyDescent="0.2">
      <c r="A10" s="1">
        <v>42980.707569444443</v>
      </c>
      <c r="B10">
        <v>281.36320000000001</v>
      </c>
      <c r="C10">
        <v>2</v>
      </c>
      <c r="D10" t="s">
        <v>36</v>
      </c>
      <c r="E10" t="s">
        <v>3</v>
      </c>
      <c r="F10" t="s">
        <v>4</v>
      </c>
      <c r="G10">
        <v>9.3410630000000001</v>
      </c>
      <c r="H10">
        <v>1.55</v>
      </c>
      <c r="I10">
        <v>-1.2210449999999999</v>
      </c>
      <c r="J10">
        <v>16.944649999999999</v>
      </c>
      <c r="K10">
        <v>28.12969</v>
      </c>
      <c r="L10">
        <v>355.12560000000002</v>
      </c>
    </row>
    <row r="11" spans="1:12" x14ac:dyDescent="0.2">
      <c r="A11" s="1">
        <v>42980.707615740743</v>
      </c>
      <c r="B11">
        <v>285.96600000000001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1.55</v>
      </c>
      <c r="I11">
        <v>4.1399999999999997</v>
      </c>
      <c r="J11">
        <v>12.280329999999999</v>
      </c>
      <c r="K11">
        <v>26.05124</v>
      </c>
      <c r="L11">
        <v>355.6771</v>
      </c>
    </row>
    <row r="12" spans="1:12" x14ac:dyDescent="0.2">
      <c r="A12" s="1">
        <v>42980.707777777781</v>
      </c>
      <c r="B12">
        <v>299.20650000000001</v>
      </c>
      <c r="C12">
        <v>3</v>
      </c>
      <c r="D12" t="s">
        <v>35</v>
      </c>
      <c r="E12" t="s">
        <v>1</v>
      </c>
      <c r="F12" t="s">
        <v>5</v>
      </c>
      <c r="G12">
        <v>-4.0607340000000001</v>
      </c>
      <c r="H12">
        <v>1.55</v>
      </c>
      <c r="I12">
        <v>3.9448629999999998</v>
      </c>
      <c r="J12">
        <v>13.39054</v>
      </c>
      <c r="K12">
        <v>64.794839999999994</v>
      </c>
      <c r="L12">
        <v>358.75540000000001</v>
      </c>
    </row>
    <row r="13" spans="1:12" x14ac:dyDescent="0.2">
      <c r="A13" s="1">
        <v>42980.707928240743</v>
      </c>
      <c r="B13">
        <v>312.07900000000001</v>
      </c>
      <c r="C13">
        <v>3</v>
      </c>
      <c r="D13" t="s">
        <v>36</v>
      </c>
      <c r="E13" t="s">
        <v>1</v>
      </c>
      <c r="F13" t="s">
        <v>5</v>
      </c>
      <c r="G13">
        <v>5.4387020000000001</v>
      </c>
      <c r="H13">
        <v>1.55</v>
      </c>
      <c r="I13">
        <v>7.2467189999999997</v>
      </c>
      <c r="J13">
        <v>11.204829999999999</v>
      </c>
      <c r="K13">
        <v>339.53320000000002</v>
      </c>
      <c r="L13">
        <v>356.6696</v>
      </c>
    </row>
    <row r="14" spans="1:12" x14ac:dyDescent="0.2">
      <c r="A14" s="1">
        <v>42980.707974537036</v>
      </c>
      <c r="B14">
        <v>316.68239999999997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1.55</v>
      </c>
      <c r="I14">
        <v>-0.67300000000000004</v>
      </c>
      <c r="J14">
        <v>9.3663310000000006</v>
      </c>
      <c r="K14">
        <v>338.62479999999999</v>
      </c>
      <c r="L14">
        <v>357.08890000000002</v>
      </c>
    </row>
    <row r="15" spans="1:12" x14ac:dyDescent="0.2">
      <c r="A15" s="1">
        <v>42980.708043981482</v>
      </c>
      <c r="B15">
        <v>322.40719999999999</v>
      </c>
      <c r="C15">
        <v>4</v>
      </c>
      <c r="D15" t="s">
        <v>35</v>
      </c>
      <c r="E15" t="s">
        <v>4</v>
      </c>
      <c r="F15" t="s">
        <v>6</v>
      </c>
      <c r="G15">
        <v>3.922876</v>
      </c>
      <c r="H15">
        <v>1.55</v>
      </c>
      <c r="I15">
        <v>-0.67115809999999998</v>
      </c>
      <c r="J15">
        <v>12.72546</v>
      </c>
      <c r="K15">
        <v>335.46620000000001</v>
      </c>
      <c r="L15">
        <v>353.96010000000001</v>
      </c>
    </row>
    <row r="16" spans="1:12" x14ac:dyDescent="0.2">
      <c r="A16" s="1">
        <v>42980.708055555559</v>
      </c>
      <c r="B16">
        <v>323.42829999999998</v>
      </c>
      <c r="C16">
        <v>4</v>
      </c>
      <c r="D16" t="s">
        <v>36</v>
      </c>
      <c r="E16" t="s">
        <v>4</v>
      </c>
      <c r="F16" t="s">
        <v>6</v>
      </c>
      <c r="G16">
        <v>3.922876</v>
      </c>
      <c r="H16">
        <v>1.55</v>
      </c>
      <c r="I16">
        <v>-0.67115809999999998</v>
      </c>
      <c r="J16">
        <v>16.00207</v>
      </c>
      <c r="K16">
        <v>349.03500000000003</v>
      </c>
      <c r="L16">
        <v>355.97289999999998</v>
      </c>
    </row>
    <row r="17" spans="1:12" x14ac:dyDescent="0.2">
      <c r="A17" s="1">
        <v>42980.708067129628</v>
      </c>
      <c r="B17">
        <v>324.44940000000003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1.55</v>
      </c>
      <c r="I17">
        <v>-4.117</v>
      </c>
      <c r="J17">
        <v>12.04426</v>
      </c>
      <c r="K17">
        <v>354.48910000000001</v>
      </c>
      <c r="L17">
        <v>358.64519999999999</v>
      </c>
    </row>
    <row r="18" spans="1:12" x14ac:dyDescent="0.2">
      <c r="A18" s="1">
        <v>42980.708078703705</v>
      </c>
      <c r="B18">
        <v>325.4873</v>
      </c>
      <c r="C18">
        <v>5</v>
      </c>
      <c r="D18" t="s">
        <v>35</v>
      </c>
      <c r="E18" t="s">
        <v>0</v>
      </c>
      <c r="F18" t="s">
        <v>1</v>
      </c>
      <c r="G18">
        <v>-0.83295079999999999</v>
      </c>
      <c r="H18">
        <v>1.55</v>
      </c>
      <c r="I18">
        <v>-4.1172019999999998</v>
      </c>
      <c r="J18">
        <v>17.062270000000002</v>
      </c>
      <c r="K18">
        <v>2.585385</v>
      </c>
      <c r="L18">
        <v>358.69159999999999</v>
      </c>
    </row>
    <row r="19" spans="1:12" x14ac:dyDescent="0.2">
      <c r="A19" s="1">
        <v>42980.708252314813</v>
      </c>
      <c r="B19">
        <v>340.88709999999998</v>
      </c>
      <c r="C19">
        <v>5</v>
      </c>
      <c r="D19" t="s">
        <v>36</v>
      </c>
      <c r="E19" t="s">
        <v>0</v>
      </c>
      <c r="F19" t="s">
        <v>1</v>
      </c>
      <c r="G19">
        <v>-1.8887290000000001</v>
      </c>
      <c r="H19">
        <v>1.55</v>
      </c>
      <c r="I19">
        <v>1.7728999999999999</v>
      </c>
      <c r="J19">
        <v>4.9973080000000003</v>
      </c>
      <c r="K19">
        <v>257.428</v>
      </c>
      <c r="L19">
        <v>356.09969999999998</v>
      </c>
    </row>
    <row r="20" spans="1:12" x14ac:dyDescent="0.2">
      <c r="A20" s="1">
        <v>42980.708275462966</v>
      </c>
      <c r="B20">
        <v>342.52730000000003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1.55</v>
      </c>
      <c r="I20">
        <v>-1.4059999999999999</v>
      </c>
      <c r="J20">
        <v>6.7541310000000001</v>
      </c>
      <c r="K20">
        <v>253.7919</v>
      </c>
      <c r="L20">
        <v>354.3965</v>
      </c>
    </row>
    <row r="21" spans="1:12" x14ac:dyDescent="0.2">
      <c r="A21" s="1">
        <v>42980.708402777775</v>
      </c>
      <c r="B21">
        <v>353.84179999999998</v>
      </c>
      <c r="C21">
        <v>6</v>
      </c>
      <c r="D21" t="s">
        <v>35</v>
      </c>
      <c r="E21" t="s">
        <v>33</v>
      </c>
      <c r="F21" t="s">
        <v>3</v>
      </c>
      <c r="G21">
        <v>-3.760602</v>
      </c>
      <c r="H21">
        <v>1.55</v>
      </c>
      <c r="I21">
        <v>-1.6159190000000001</v>
      </c>
      <c r="J21">
        <v>15.66633</v>
      </c>
      <c r="K21">
        <v>178.11590000000001</v>
      </c>
      <c r="L21">
        <v>355.7799</v>
      </c>
    </row>
    <row r="22" spans="1:12" x14ac:dyDescent="0.2">
      <c r="A22" s="1">
        <v>42980.708553240744</v>
      </c>
      <c r="B22">
        <v>366.66250000000002</v>
      </c>
      <c r="C22">
        <v>6</v>
      </c>
      <c r="D22" t="s">
        <v>36</v>
      </c>
      <c r="E22" t="s">
        <v>33</v>
      </c>
      <c r="F22" t="s">
        <v>3</v>
      </c>
      <c r="G22">
        <v>5.131399</v>
      </c>
      <c r="H22">
        <v>1.55</v>
      </c>
      <c r="I22">
        <v>-4.5465619999999998</v>
      </c>
      <c r="J22">
        <v>11.25648</v>
      </c>
      <c r="K22">
        <v>18.451789999999999</v>
      </c>
      <c r="L22">
        <v>354.40969999999999</v>
      </c>
    </row>
    <row r="23" spans="1:12" x14ac:dyDescent="0.2">
      <c r="A23" s="1">
        <v>42980.70857638889</v>
      </c>
      <c r="B23">
        <v>368.16890000000001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1.55</v>
      </c>
      <c r="I23">
        <v>4.1399999999999997</v>
      </c>
      <c r="J23">
        <v>14.279960000000001</v>
      </c>
      <c r="K23">
        <v>13.40151</v>
      </c>
      <c r="L23">
        <v>353.90809999999999</v>
      </c>
    </row>
    <row r="24" spans="1:12" x14ac:dyDescent="0.2">
      <c r="A24" s="1">
        <v>42980.708611111113</v>
      </c>
      <c r="B24">
        <v>371.80110000000002</v>
      </c>
      <c r="C24">
        <v>7</v>
      </c>
      <c r="D24" t="s">
        <v>35</v>
      </c>
      <c r="E24" t="s">
        <v>1</v>
      </c>
      <c r="F24" t="s">
        <v>5</v>
      </c>
      <c r="G24">
        <v>-4.0854499999999998</v>
      </c>
      <c r="H24">
        <v>1.55</v>
      </c>
      <c r="I24">
        <v>4.1394729999999997</v>
      </c>
      <c r="J24">
        <v>13.12355</v>
      </c>
      <c r="K24">
        <v>118.0197</v>
      </c>
      <c r="L24">
        <v>353.5136</v>
      </c>
    </row>
    <row r="25" spans="1:12" x14ac:dyDescent="0.2">
      <c r="A25" s="1">
        <v>42980.708738425928</v>
      </c>
      <c r="B25">
        <v>382.21190000000001</v>
      </c>
      <c r="C25">
        <v>7</v>
      </c>
      <c r="D25" t="s">
        <v>36</v>
      </c>
      <c r="E25" t="s">
        <v>1</v>
      </c>
      <c r="F25" t="s">
        <v>5</v>
      </c>
      <c r="G25">
        <v>1.5054000000000001</v>
      </c>
      <c r="H25">
        <v>1.55</v>
      </c>
      <c r="I25">
        <v>1.53799</v>
      </c>
      <c r="J25">
        <v>9.7100550000000005</v>
      </c>
      <c r="K25">
        <v>28.201560000000001</v>
      </c>
      <c r="L25">
        <v>352.61829999999998</v>
      </c>
    </row>
    <row r="26" spans="1:12" x14ac:dyDescent="0.2">
      <c r="A26" s="1">
        <v>42980.708749999998</v>
      </c>
      <c r="B26">
        <v>383.53410000000002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1.55</v>
      </c>
      <c r="I26">
        <v>-4.3440000000000003</v>
      </c>
      <c r="J26">
        <v>9.9187989999999999</v>
      </c>
      <c r="K26">
        <v>31.257190000000001</v>
      </c>
      <c r="L26">
        <v>354.66379999999998</v>
      </c>
    </row>
    <row r="27" spans="1:12" x14ac:dyDescent="0.2">
      <c r="A27" s="1">
        <v>42980.708784722221</v>
      </c>
      <c r="B27">
        <v>386.798</v>
      </c>
      <c r="C27">
        <v>8</v>
      </c>
      <c r="D27" t="s">
        <v>35</v>
      </c>
      <c r="E27" t="s">
        <v>2</v>
      </c>
      <c r="F27" t="s">
        <v>0</v>
      </c>
      <c r="G27">
        <v>3.516</v>
      </c>
      <c r="H27">
        <v>1.55</v>
      </c>
      <c r="I27">
        <v>-4.3440000000000003</v>
      </c>
      <c r="J27">
        <v>14.884539999999999</v>
      </c>
      <c r="K27">
        <v>240.81389999999999</v>
      </c>
      <c r="L27">
        <v>357.755</v>
      </c>
    </row>
    <row r="28" spans="1:12" x14ac:dyDescent="0.2">
      <c r="A28" s="1">
        <v>42980.70890046296</v>
      </c>
      <c r="B28">
        <v>396.40559999999999</v>
      </c>
      <c r="C28">
        <v>8</v>
      </c>
      <c r="D28" t="s">
        <v>36</v>
      </c>
      <c r="E28" t="s">
        <v>2</v>
      </c>
      <c r="F28" t="s">
        <v>0</v>
      </c>
      <c r="G28">
        <v>-4.9301190000000004</v>
      </c>
      <c r="H28">
        <v>1.55</v>
      </c>
      <c r="I28">
        <v>-4.0192709999999998</v>
      </c>
      <c r="J28">
        <v>7.6057230000000002</v>
      </c>
      <c r="K28">
        <v>161.1028</v>
      </c>
      <c r="L28">
        <v>354.93729999999999</v>
      </c>
    </row>
    <row r="29" spans="1:12" x14ac:dyDescent="0.2">
      <c r="A29" s="1">
        <v>42980.708912037036</v>
      </c>
      <c r="B29">
        <v>397.52710000000002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1.55</v>
      </c>
      <c r="I29">
        <v>-1.4059999999999999</v>
      </c>
      <c r="J29">
        <v>10.409549999999999</v>
      </c>
      <c r="K29">
        <v>180.2072</v>
      </c>
      <c r="L29">
        <v>353.27409999999998</v>
      </c>
    </row>
    <row r="30" spans="1:12" x14ac:dyDescent="0.2">
      <c r="A30" s="1">
        <v>42980.708958333336</v>
      </c>
      <c r="B30">
        <v>401.41039999999998</v>
      </c>
      <c r="C30">
        <v>9</v>
      </c>
      <c r="D30" t="s">
        <v>35</v>
      </c>
      <c r="E30" t="s">
        <v>33</v>
      </c>
      <c r="F30" t="s">
        <v>3</v>
      </c>
      <c r="G30">
        <v>-3.9809999999999999</v>
      </c>
      <c r="H30">
        <v>1.55</v>
      </c>
      <c r="I30">
        <v>-1.4059999999999999</v>
      </c>
      <c r="J30">
        <v>12.855029999999999</v>
      </c>
      <c r="K30">
        <v>151.61510000000001</v>
      </c>
      <c r="L30">
        <v>356.24919999999997</v>
      </c>
    </row>
    <row r="31" spans="1:12" x14ac:dyDescent="0.2">
      <c r="A31" s="1">
        <v>42980.709050925929</v>
      </c>
      <c r="B31">
        <v>409.99689999999998</v>
      </c>
      <c r="C31">
        <v>9</v>
      </c>
      <c r="D31" t="s">
        <v>36</v>
      </c>
      <c r="E31" t="s">
        <v>33</v>
      </c>
      <c r="F31" t="s">
        <v>3</v>
      </c>
      <c r="G31">
        <v>3.7206939999999999</v>
      </c>
      <c r="H31">
        <v>1.55</v>
      </c>
      <c r="I31">
        <v>0.26341209999999998</v>
      </c>
      <c r="J31">
        <v>15.995749999999999</v>
      </c>
      <c r="K31">
        <v>327.7287</v>
      </c>
      <c r="L31">
        <v>350.03070000000002</v>
      </c>
    </row>
    <row r="32" spans="1:12" x14ac:dyDescent="0.2">
      <c r="A32" s="1">
        <v>42980.709085648145</v>
      </c>
      <c r="B32">
        <v>412.07240000000002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1.55</v>
      </c>
      <c r="I32">
        <v>2.7240000000000002</v>
      </c>
      <c r="J32">
        <v>14.66084</v>
      </c>
      <c r="K32">
        <v>226.24160000000001</v>
      </c>
      <c r="L32">
        <v>353.70209999999997</v>
      </c>
    </row>
    <row r="33" spans="1:12" x14ac:dyDescent="0.2">
      <c r="A33" s="1">
        <v>42980.70921296296</v>
      </c>
      <c r="B33">
        <v>423.75510000000003</v>
      </c>
      <c r="C33">
        <v>10</v>
      </c>
      <c r="D33" t="s">
        <v>35</v>
      </c>
      <c r="E33" t="s">
        <v>5</v>
      </c>
      <c r="F33" t="s">
        <v>2</v>
      </c>
      <c r="G33">
        <v>0.78545759999999998</v>
      </c>
      <c r="H33">
        <v>1.55</v>
      </c>
      <c r="I33">
        <v>1.728424</v>
      </c>
      <c r="J33">
        <v>19.32601</v>
      </c>
      <c r="K33">
        <v>227.1403</v>
      </c>
      <c r="L33">
        <v>354.38479999999998</v>
      </c>
    </row>
    <row r="34" spans="1:12" x14ac:dyDescent="0.2">
      <c r="A34" s="1">
        <v>42980.709374999999</v>
      </c>
      <c r="B34">
        <v>437.17919999999998</v>
      </c>
      <c r="C34">
        <v>10</v>
      </c>
      <c r="D34" t="s">
        <v>36</v>
      </c>
      <c r="E34" t="s">
        <v>5</v>
      </c>
      <c r="F34" t="s">
        <v>2</v>
      </c>
      <c r="G34">
        <v>7.292154</v>
      </c>
      <c r="H34">
        <v>1.55</v>
      </c>
      <c r="I34">
        <v>1.6373679999999999</v>
      </c>
      <c r="J34">
        <v>16.845269999999999</v>
      </c>
      <c r="K34">
        <v>355.40350000000001</v>
      </c>
      <c r="L34">
        <v>352.62549999999999</v>
      </c>
    </row>
    <row r="35" spans="1:12" x14ac:dyDescent="0.2">
      <c r="A35" s="1">
        <v>42980.709386574075</v>
      </c>
      <c r="B35">
        <v>438.18349999999998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1.55</v>
      </c>
      <c r="I35">
        <v>-4.117</v>
      </c>
      <c r="J35">
        <v>17.33596</v>
      </c>
      <c r="K35">
        <v>354.61509999999998</v>
      </c>
      <c r="L35">
        <v>353.56060000000002</v>
      </c>
    </row>
    <row r="36" spans="1:12" x14ac:dyDescent="0.2">
      <c r="A36" s="1">
        <v>42980.709421296298</v>
      </c>
      <c r="B36">
        <v>441.63150000000002</v>
      </c>
      <c r="C36">
        <v>11</v>
      </c>
      <c r="D36" t="s">
        <v>35</v>
      </c>
      <c r="E36" t="s">
        <v>0</v>
      </c>
      <c r="F36" t="s">
        <v>1</v>
      </c>
      <c r="G36">
        <v>-0.868973</v>
      </c>
      <c r="H36">
        <v>1.55</v>
      </c>
      <c r="I36">
        <v>-4.1207279999999997</v>
      </c>
      <c r="J36">
        <v>19.160170000000001</v>
      </c>
      <c r="K36">
        <v>169.0763</v>
      </c>
      <c r="L36">
        <v>356.76940000000002</v>
      </c>
    </row>
    <row r="37" spans="1:12" x14ac:dyDescent="0.2">
      <c r="A37" s="1">
        <v>42980.70952546296</v>
      </c>
      <c r="B37">
        <v>450.06729999999999</v>
      </c>
      <c r="C37">
        <v>11</v>
      </c>
      <c r="D37" t="s">
        <v>36</v>
      </c>
      <c r="E37" t="s">
        <v>0</v>
      </c>
      <c r="F37" t="s">
        <v>1</v>
      </c>
      <c r="G37">
        <v>1.862582</v>
      </c>
      <c r="H37">
        <v>1.55</v>
      </c>
      <c r="I37">
        <v>1.5713520000000001</v>
      </c>
      <c r="J37">
        <v>12.067629999999999</v>
      </c>
      <c r="K37">
        <v>290.1404</v>
      </c>
      <c r="L37">
        <v>350.32089999999999</v>
      </c>
    </row>
    <row r="38" spans="1:12" x14ac:dyDescent="0.2">
      <c r="A38" s="1">
        <v>42980.709675925929</v>
      </c>
      <c r="B38">
        <v>463.35410000000002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1.55</v>
      </c>
      <c r="I38">
        <v>1.8169999999999999</v>
      </c>
      <c r="J38">
        <v>0.9069026</v>
      </c>
      <c r="K38">
        <v>343.94229999999999</v>
      </c>
      <c r="L38">
        <v>358.52789999999999</v>
      </c>
    </row>
    <row r="39" spans="1:12" x14ac:dyDescent="0.2">
      <c r="A39" s="1">
        <v>42980.711226851854</v>
      </c>
      <c r="B39">
        <v>597.55359999999996</v>
      </c>
      <c r="C39">
        <v>12</v>
      </c>
      <c r="D39" t="s">
        <v>35</v>
      </c>
      <c r="E39" t="s">
        <v>3</v>
      </c>
      <c r="F39" t="s">
        <v>4</v>
      </c>
      <c r="G39">
        <v>3.76546</v>
      </c>
      <c r="H39">
        <v>1.55</v>
      </c>
      <c r="I39">
        <v>2.2081379999999999</v>
      </c>
      <c r="J39">
        <v>13.10352</v>
      </c>
      <c r="K39">
        <v>228.43340000000001</v>
      </c>
      <c r="L39">
        <v>358.12979999999999</v>
      </c>
    </row>
    <row r="40" spans="1:12" x14ac:dyDescent="0.2">
      <c r="A40" s="1">
        <v>42980.711388888885</v>
      </c>
      <c r="B40">
        <v>611.16020000000003</v>
      </c>
      <c r="C40">
        <v>12</v>
      </c>
      <c r="D40" t="s">
        <v>36</v>
      </c>
      <c r="E40" t="s">
        <v>3</v>
      </c>
      <c r="F40" t="s">
        <v>4</v>
      </c>
      <c r="G40">
        <v>8.1984510000000004</v>
      </c>
      <c r="H40">
        <v>1.55</v>
      </c>
      <c r="I40">
        <v>-5.669797</v>
      </c>
      <c r="J40">
        <v>5.1219390000000002</v>
      </c>
      <c r="K40">
        <v>64.28407</v>
      </c>
      <c r="L40">
        <v>356.65629999999999</v>
      </c>
    </row>
    <row r="41" spans="1:12" x14ac:dyDescent="0.2">
      <c r="A41" s="1">
        <v>42980.711400462962</v>
      </c>
      <c r="B41">
        <v>612.59950000000003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1.55</v>
      </c>
      <c r="I41">
        <v>-1.4059999999999999</v>
      </c>
      <c r="J41">
        <v>4.6765869999999996</v>
      </c>
      <c r="K41">
        <v>64.69923</v>
      </c>
      <c r="L41">
        <v>356.726</v>
      </c>
    </row>
    <row r="42" spans="1:12" x14ac:dyDescent="0.2">
      <c r="A42" s="1">
        <v>42980.711550925924</v>
      </c>
      <c r="B42">
        <v>625.3021</v>
      </c>
      <c r="C42">
        <v>13</v>
      </c>
      <c r="D42" t="s">
        <v>35</v>
      </c>
      <c r="E42" t="s">
        <v>33</v>
      </c>
      <c r="F42" t="s">
        <v>3</v>
      </c>
      <c r="G42">
        <v>-3.683799</v>
      </c>
      <c r="H42">
        <v>1.55</v>
      </c>
      <c r="I42">
        <v>-1.8286180000000001</v>
      </c>
      <c r="J42">
        <v>17.124770000000002</v>
      </c>
      <c r="K42">
        <v>277.32859999999999</v>
      </c>
      <c r="L42">
        <v>352.47949999999997</v>
      </c>
    </row>
    <row r="43" spans="1:12" x14ac:dyDescent="0.2">
      <c r="A43" s="1">
        <v>42980.711701388886</v>
      </c>
      <c r="B43">
        <v>638.87530000000004</v>
      </c>
      <c r="C43">
        <v>13</v>
      </c>
      <c r="D43" t="s">
        <v>36</v>
      </c>
      <c r="E43" t="s">
        <v>33</v>
      </c>
      <c r="F43" t="s">
        <v>3</v>
      </c>
      <c r="G43">
        <v>2.6980780000000002</v>
      </c>
      <c r="H43">
        <v>1.55</v>
      </c>
      <c r="I43">
        <v>-4.3085110000000002</v>
      </c>
      <c r="J43">
        <v>356.1046</v>
      </c>
      <c r="K43">
        <v>28.761569999999999</v>
      </c>
      <c r="L43">
        <v>359.92590000000001</v>
      </c>
    </row>
    <row r="44" spans="1:12" x14ac:dyDescent="0.2">
      <c r="A44" s="1">
        <v>42980.711724537039</v>
      </c>
      <c r="B44">
        <v>640.33150000000001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1.55</v>
      </c>
      <c r="I44">
        <v>2.7240000000000002</v>
      </c>
      <c r="J44">
        <v>359.8048</v>
      </c>
      <c r="K44">
        <v>27.15896</v>
      </c>
      <c r="L44">
        <v>359.10860000000002</v>
      </c>
    </row>
    <row r="45" spans="1:12" x14ac:dyDescent="0.2">
      <c r="A45" s="1">
        <v>42980.711736111109</v>
      </c>
      <c r="B45">
        <v>641.40260000000001</v>
      </c>
      <c r="C45">
        <v>14</v>
      </c>
      <c r="D45" t="s">
        <v>35</v>
      </c>
      <c r="E45" t="s">
        <v>5</v>
      </c>
      <c r="F45" t="s">
        <v>2</v>
      </c>
      <c r="G45">
        <v>1.6E-2</v>
      </c>
      <c r="H45">
        <v>1.55</v>
      </c>
      <c r="I45">
        <v>2.7240000000000002</v>
      </c>
      <c r="J45">
        <v>2.8954330000000001</v>
      </c>
      <c r="K45">
        <v>24.296510000000001</v>
      </c>
      <c r="L45">
        <v>358.59769999999997</v>
      </c>
    </row>
    <row r="46" spans="1:12" x14ac:dyDescent="0.2">
      <c r="A46" s="1">
        <v>42980.711863425924</v>
      </c>
      <c r="B46">
        <v>652.04690000000005</v>
      </c>
      <c r="C46">
        <v>14</v>
      </c>
      <c r="D46" t="s">
        <v>36</v>
      </c>
      <c r="E46" t="s">
        <v>5</v>
      </c>
      <c r="F46" t="s">
        <v>2</v>
      </c>
      <c r="G46">
        <v>-1.409</v>
      </c>
      <c r="H46">
        <v>1.55</v>
      </c>
      <c r="I46">
        <v>-2.4370750000000001</v>
      </c>
      <c r="J46">
        <v>10.92521</v>
      </c>
      <c r="K46">
        <v>98.341449999999995</v>
      </c>
      <c r="L46">
        <v>358.63639999999998</v>
      </c>
    </row>
    <row r="47" spans="1:12" x14ac:dyDescent="0.2">
      <c r="A47" s="1">
        <v>42980.71193287037</v>
      </c>
      <c r="B47">
        <v>658.05409999999995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1.55</v>
      </c>
      <c r="I47">
        <v>0.09</v>
      </c>
      <c r="J47">
        <v>0.39241880000000001</v>
      </c>
      <c r="K47">
        <v>12.124079999999999</v>
      </c>
      <c r="L47">
        <v>356.6189</v>
      </c>
    </row>
    <row r="48" spans="1:12" x14ac:dyDescent="0.2">
      <c r="A48" s="1">
        <v>42980.712395833332</v>
      </c>
      <c r="B48">
        <v>698.49109999999996</v>
      </c>
      <c r="C48">
        <v>15</v>
      </c>
      <c r="D48" t="s">
        <v>35</v>
      </c>
      <c r="E48" t="s">
        <v>6</v>
      </c>
      <c r="F48" t="s">
        <v>33</v>
      </c>
      <c r="G48">
        <v>-4.1241029999999999</v>
      </c>
      <c r="H48">
        <v>1.55</v>
      </c>
      <c r="I48">
        <v>0.96977950000000002</v>
      </c>
      <c r="J48">
        <v>3.8642810000000001</v>
      </c>
      <c r="K48">
        <v>53.24006</v>
      </c>
      <c r="L48">
        <v>358.27839999999998</v>
      </c>
    </row>
    <row r="49" spans="1:12" x14ac:dyDescent="0.2">
      <c r="A49" s="1">
        <v>42980.712523148148</v>
      </c>
      <c r="B49">
        <v>709.20180000000005</v>
      </c>
      <c r="C49">
        <v>15</v>
      </c>
      <c r="D49" t="s">
        <v>36</v>
      </c>
      <c r="E49" t="s">
        <v>6</v>
      </c>
      <c r="F49" t="s">
        <v>33</v>
      </c>
      <c r="G49">
        <v>4.1803610000000004</v>
      </c>
      <c r="H49">
        <v>1.55</v>
      </c>
      <c r="I49">
        <v>1.1158760000000001</v>
      </c>
      <c r="J49">
        <v>357.81729999999999</v>
      </c>
      <c r="K49">
        <v>2.696936</v>
      </c>
      <c r="L49">
        <v>354.90600000000001</v>
      </c>
    </row>
    <row r="50" spans="1:12" x14ac:dyDescent="0.2">
      <c r="A50" s="1">
        <v>42980.712557870371</v>
      </c>
      <c r="B50">
        <v>712.23080000000004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1.55</v>
      </c>
      <c r="I50">
        <v>-0.67300000000000004</v>
      </c>
      <c r="J50">
        <v>2.9921639999999998</v>
      </c>
      <c r="K50">
        <v>359.7792</v>
      </c>
      <c r="L50">
        <v>0.25839780000000001</v>
      </c>
    </row>
    <row r="51" spans="1:12" x14ac:dyDescent="0.2">
      <c r="A51" s="1">
        <v>42980.712962962964</v>
      </c>
      <c r="B51">
        <v>747.02530000000002</v>
      </c>
      <c r="C51">
        <v>16</v>
      </c>
      <c r="D51" t="s">
        <v>35</v>
      </c>
      <c r="E51" t="s">
        <v>4</v>
      </c>
      <c r="F51" t="s">
        <v>6</v>
      </c>
      <c r="G51">
        <v>3.9401250000000001</v>
      </c>
      <c r="H51">
        <v>1.55</v>
      </c>
      <c r="I51">
        <v>-0.51008810000000004</v>
      </c>
      <c r="J51">
        <v>17.255579999999998</v>
      </c>
      <c r="K51">
        <v>170.65639999999999</v>
      </c>
      <c r="L51">
        <v>356.74369999999999</v>
      </c>
    </row>
    <row r="52" spans="1:12" x14ac:dyDescent="0.2">
      <c r="A52" s="1">
        <v>42980.713101851848</v>
      </c>
      <c r="B52">
        <v>759.62779999999998</v>
      </c>
      <c r="C52">
        <v>16</v>
      </c>
      <c r="D52" t="s">
        <v>36</v>
      </c>
      <c r="E52" t="s">
        <v>4</v>
      </c>
      <c r="F52" t="s">
        <v>6</v>
      </c>
      <c r="G52">
        <v>-2.6778360000000001</v>
      </c>
      <c r="H52">
        <v>1.55</v>
      </c>
      <c r="I52">
        <v>-5.8235859999999997</v>
      </c>
      <c r="J52">
        <v>347.85160000000002</v>
      </c>
      <c r="K52">
        <v>85.538039999999995</v>
      </c>
      <c r="L52">
        <v>359.62450000000001</v>
      </c>
    </row>
    <row r="53" spans="1:12" x14ac:dyDescent="0.2">
      <c r="A53" s="1">
        <v>42980.713206018518</v>
      </c>
      <c r="B53">
        <v>768.58130000000006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1.55</v>
      </c>
      <c r="I53">
        <v>1.8169999999999999</v>
      </c>
      <c r="J53">
        <v>7.5366960000000001</v>
      </c>
      <c r="K53">
        <v>128.1489</v>
      </c>
      <c r="L53">
        <v>354.96469999999999</v>
      </c>
    </row>
    <row r="54" spans="1:12" x14ac:dyDescent="0.2">
      <c r="A54" s="1">
        <v>42980.717094907406</v>
      </c>
      <c r="B54">
        <v>788.88720000000001</v>
      </c>
      <c r="C54">
        <v>17</v>
      </c>
      <c r="D54" t="s">
        <v>35</v>
      </c>
      <c r="E54" t="s">
        <v>3</v>
      </c>
      <c r="F54" t="s">
        <v>4</v>
      </c>
      <c r="G54">
        <v>3.1927289999999999</v>
      </c>
      <c r="H54">
        <v>1.55</v>
      </c>
      <c r="I54">
        <v>1.619966</v>
      </c>
      <c r="J54">
        <v>18.884460000000001</v>
      </c>
      <c r="K54">
        <v>289.20260000000002</v>
      </c>
      <c r="L54">
        <v>359.07819999999998</v>
      </c>
    </row>
    <row r="55" spans="1:12" x14ac:dyDescent="0.2">
      <c r="A55" s="1">
        <v>42980.717256944445</v>
      </c>
      <c r="B55">
        <v>802.15949999999998</v>
      </c>
      <c r="C55">
        <v>17</v>
      </c>
      <c r="D55" t="s">
        <v>36</v>
      </c>
      <c r="E55" t="s">
        <v>3</v>
      </c>
      <c r="F55" t="s">
        <v>4</v>
      </c>
      <c r="G55">
        <v>-0.97291919999999998</v>
      </c>
      <c r="H55">
        <v>1.55</v>
      </c>
      <c r="I55">
        <v>-1.6081490000000001</v>
      </c>
      <c r="J55">
        <v>359.90600000000001</v>
      </c>
      <c r="K55">
        <v>124.31780000000001</v>
      </c>
      <c r="L55">
        <v>356.22539999999998</v>
      </c>
    </row>
    <row r="56" spans="1:12" x14ac:dyDescent="0.2">
      <c r="A56" s="1">
        <v>42980.717314814814</v>
      </c>
      <c r="B56">
        <v>807.18050000000005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1.55</v>
      </c>
      <c r="I56">
        <v>-4.3440000000000003</v>
      </c>
      <c r="J56">
        <v>3.1663990000000002</v>
      </c>
      <c r="K56">
        <v>123.3182</v>
      </c>
      <c r="L56">
        <v>358.55549999999999</v>
      </c>
    </row>
    <row r="57" spans="1:12" x14ac:dyDescent="0.2">
      <c r="A57" s="1">
        <v>42980.717349537037</v>
      </c>
      <c r="B57">
        <v>810.99649999999997</v>
      </c>
      <c r="C57">
        <v>18</v>
      </c>
      <c r="D57" t="s">
        <v>35</v>
      </c>
      <c r="E57" t="s">
        <v>2</v>
      </c>
      <c r="F57" t="s">
        <v>0</v>
      </c>
      <c r="G57">
        <v>3.515158</v>
      </c>
      <c r="H57">
        <v>1.55</v>
      </c>
      <c r="I57">
        <v>-4.3452820000000001</v>
      </c>
      <c r="J57">
        <v>2.507749</v>
      </c>
      <c r="K57">
        <v>179.762</v>
      </c>
      <c r="L57">
        <v>356.57929999999999</v>
      </c>
    </row>
    <row r="58" spans="1:12" x14ac:dyDescent="0.2">
      <c r="A58" s="1">
        <v>42980.717546296299</v>
      </c>
      <c r="B58">
        <v>827.55029999999999</v>
      </c>
      <c r="C58">
        <v>18</v>
      </c>
      <c r="D58" t="s">
        <v>36</v>
      </c>
      <c r="E58" t="s">
        <v>2</v>
      </c>
      <c r="F58" t="s">
        <v>0</v>
      </c>
      <c r="G58">
        <v>-0.15572569999999999</v>
      </c>
      <c r="H58">
        <v>1.55</v>
      </c>
      <c r="I58">
        <v>2.053636</v>
      </c>
      <c r="J58">
        <v>354.73910000000001</v>
      </c>
      <c r="K58">
        <v>232.88059999999999</v>
      </c>
      <c r="L58">
        <v>356.7491</v>
      </c>
    </row>
    <row r="59" spans="1:12" x14ac:dyDescent="0.2">
      <c r="A59" s="1">
        <v>42980.717557870368</v>
      </c>
      <c r="B59">
        <v>828.95609999999999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1.55</v>
      </c>
      <c r="I59">
        <v>-0.67300000000000004</v>
      </c>
      <c r="J59">
        <v>352.59879999999998</v>
      </c>
      <c r="K59">
        <v>230.1294</v>
      </c>
      <c r="L59">
        <v>355.96969999999999</v>
      </c>
    </row>
    <row r="60" spans="1:12" x14ac:dyDescent="0.2">
      <c r="A60" s="1">
        <v>42980.717581018522</v>
      </c>
      <c r="B60">
        <v>830.93100000000004</v>
      </c>
      <c r="C60">
        <v>19</v>
      </c>
      <c r="D60" t="s">
        <v>35</v>
      </c>
      <c r="E60" t="s">
        <v>4</v>
      </c>
      <c r="F60" t="s">
        <v>6</v>
      </c>
      <c r="G60">
        <v>3.8113950000000001</v>
      </c>
      <c r="H60">
        <v>1.55</v>
      </c>
      <c r="I60">
        <v>-0.67739700000000003</v>
      </c>
      <c r="J60">
        <v>15.464399999999999</v>
      </c>
      <c r="K60">
        <v>185.71190000000001</v>
      </c>
      <c r="L60">
        <v>1.4135869999999999</v>
      </c>
    </row>
    <row r="61" spans="1:12" x14ac:dyDescent="0.2">
      <c r="A61" s="1">
        <v>42980.717719907407</v>
      </c>
      <c r="B61">
        <v>842.37819999999999</v>
      </c>
      <c r="C61">
        <v>19</v>
      </c>
      <c r="D61" t="s">
        <v>36</v>
      </c>
      <c r="E61" t="s">
        <v>4</v>
      </c>
      <c r="F61" t="s">
        <v>6</v>
      </c>
      <c r="G61">
        <v>-4.7478819999999997</v>
      </c>
      <c r="H61">
        <v>1.55</v>
      </c>
      <c r="I61">
        <v>1.2381960000000001</v>
      </c>
      <c r="J61">
        <v>353.8288</v>
      </c>
      <c r="K61">
        <v>197.4469</v>
      </c>
      <c r="L61">
        <v>359.70679999999999</v>
      </c>
    </row>
    <row r="62" spans="1:12" x14ac:dyDescent="0.2">
      <c r="A62" s="1">
        <v>42980.71775462963</v>
      </c>
      <c r="B62">
        <v>845.30790000000002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1.55</v>
      </c>
      <c r="I62">
        <v>-1.4059999999999999</v>
      </c>
      <c r="J62">
        <v>4.9940090000000001</v>
      </c>
      <c r="K62">
        <v>209.50069999999999</v>
      </c>
      <c r="L62">
        <v>356.0213</v>
      </c>
    </row>
    <row r="63" spans="1:12" x14ac:dyDescent="0.2">
      <c r="A63" s="1">
        <v>42980.717905092592</v>
      </c>
      <c r="B63">
        <v>858.26210000000003</v>
      </c>
      <c r="C63">
        <v>20</v>
      </c>
      <c r="D63" t="s">
        <v>35</v>
      </c>
      <c r="E63" t="s">
        <v>33</v>
      </c>
      <c r="F63" t="s">
        <v>3</v>
      </c>
      <c r="G63">
        <v>-3.875829</v>
      </c>
      <c r="H63">
        <v>1.55</v>
      </c>
      <c r="I63">
        <v>-1.6738919999999999</v>
      </c>
      <c r="J63">
        <v>9.7895210000000006</v>
      </c>
      <c r="K63">
        <v>198.80109999999999</v>
      </c>
      <c r="L63">
        <v>356.48160000000001</v>
      </c>
    </row>
    <row r="64" spans="1:12" x14ac:dyDescent="0.2">
      <c r="A64" s="1">
        <v>42980.71806712963</v>
      </c>
      <c r="B64">
        <v>872.69050000000004</v>
      </c>
      <c r="C64">
        <v>20</v>
      </c>
      <c r="D64" t="s">
        <v>36</v>
      </c>
      <c r="E64" t="s">
        <v>33</v>
      </c>
      <c r="F64" t="s">
        <v>3</v>
      </c>
      <c r="G64">
        <v>-0.88002970000000003</v>
      </c>
      <c r="H64">
        <v>1.55</v>
      </c>
      <c r="I64">
        <v>-7.2957419999999997</v>
      </c>
      <c r="J64">
        <v>1.8249759999999999</v>
      </c>
      <c r="K64">
        <v>58.606000000000002</v>
      </c>
      <c r="L64">
        <v>359.01929999999999</v>
      </c>
    </row>
    <row r="65" spans="1:12" x14ac:dyDescent="0.2">
      <c r="A65" s="1">
        <v>42980.718078703707</v>
      </c>
      <c r="B65">
        <v>873.87729999999999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1.55</v>
      </c>
      <c r="I65">
        <v>-4.117</v>
      </c>
      <c r="J65">
        <v>359.71480000000003</v>
      </c>
      <c r="K65">
        <v>58.19341</v>
      </c>
      <c r="L65">
        <v>358.66129999999998</v>
      </c>
    </row>
    <row r="66" spans="1:12" x14ac:dyDescent="0.2">
      <c r="A66" s="1">
        <v>42980.718090277776</v>
      </c>
      <c r="B66">
        <v>875.04880000000003</v>
      </c>
      <c r="C66">
        <v>21</v>
      </c>
      <c r="D66" t="s">
        <v>35</v>
      </c>
      <c r="E66" t="s">
        <v>0</v>
      </c>
      <c r="F66" t="s">
        <v>1</v>
      </c>
      <c r="G66">
        <v>-0.85</v>
      </c>
      <c r="H66">
        <v>1.55</v>
      </c>
      <c r="I66">
        <v>-4.117</v>
      </c>
      <c r="J66">
        <v>6.7408070000000002</v>
      </c>
      <c r="K66">
        <v>24.824149999999999</v>
      </c>
      <c r="L66">
        <v>359.2081</v>
      </c>
    </row>
    <row r="67" spans="1:12" x14ac:dyDescent="0.2">
      <c r="A67" s="1">
        <v>42980.718263888892</v>
      </c>
      <c r="B67">
        <v>889.81</v>
      </c>
      <c r="C67">
        <v>21</v>
      </c>
      <c r="D67" t="s">
        <v>36</v>
      </c>
      <c r="E67" t="s">
        <v>0</v>
      </c>
      <c r="F67" t="s">
        <v>1</v>
      </c>
      <c r="G67">
        <v>-7.1429</v>
      </c>
      <c r="H67">
        <v>1.55</v>
      </c>
      <c r="I67">
        <v>1.14317</v>
      </c>
      <c r="J67">
        <v>0.86612210000000001</v>
      </c>
      <c r="K67">
        <v>221.96250000000001</v>
      </c>
      <c r="L67">
        <v>358.68810000000002</v>
      </c>
    </row>
    <row r="68" spans="1:12" x14ac:dyDescent="0.2">
      <c r="A68" s="1">
        <v>42980.718275462961</v>
      </c>
      <c r="B68">
        <v>890.88120000000004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1.55</v>
      </c>
      <c r="I68">
        <v>4.1399999999999997</v>
      </c>
      <c r="J68">
        <v>2.0208170000000001</v>
      </c>
      <c r="K68">
        <v>221.321</v>
      </c>
      <c r="L68">
        <v>358.47989999999999</v>
      </c>
    </row>
    <row r="69" spans="1:12" x14ac:dyDescent="0.2">
      <c r="A69" s="1">
        <v>42980.718310185184</v>
      </c>
      <c r="B69">
        <v>893.96079999999995</v>
      </c>
      <c r="C69">
        <v>22</v>
      </c>
      <c r="D69" t="s">
        <v>35</v>
      </c>
      <c r="E69" t="s">
        <v>1</v>
      </c>
      <c r="F69" t="s">
        <v>5</v>
      </c>
      <c r="G69">
        <v>-4.1055950000000001</v>
      </c>
      <c r="H69">
        <v>1.55</v>
      </c>
      <c r="I69">
        <v>4.1366810000000003</v>
      </c>
      <c r="J69">
        <v>5.4588150000000004</v>
      </c>
      <c r="K69">
        <v>198.17670000000001</v>
      </c>
      <c r="L69">
        <v>4.7593570000000002E-2</v>
      </c>
    </row>
    <row r="70" spans="1:12" x14ac:dyDescent="0.2">
      <c r="A70" s="1">
        <v>42980.718576388892</v>
      </c>
      <c r="B70">
        <v>916.42049999999995</v>
      </c>
      <c r="C70">
        <v>22</v>
      </c>
      <c r="D70" t="s">
        <v>36</v>
      </c>
      <c r="E70" t="s">
        <v>1</v>
      </c>
      <c r="F70" t="s">
        <v>5</v>
      </c>
      <c r="G70">
        <v>-10.62086</v>
      </c>
      <c r="H70">
        <v>1.55</v>
      </c>
      <c r="I70">
        <v>-5.1873740000000002</v>
      </c>
      <c r="J70">
        <v>359.27519999999998</v>
      </c>
      <c r="K70">
        <v>125.9614</v>
      </c>
      <c r="L70">
        <v>357.9753</v>
      </c>
    </row>
    <row r="71" spans="1:12" x14ac:dyDescent="0.2">
      <c r="A71" s="1">
        <v>42980.718587962961</v>
      </c>
      <c r="B71">
        <v>917.92660000000001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1.55</v>
      </c>
      <c r="I71">
        <v>0.09</v>
      </c>
      <c r="J71">
        <v>0.19102920000000001</v>
      </c>
      <c r="K71">
        <v>126.349</v>
      </c>
      <c r="L71">
        <v>356.87130000000002</v>
      </c>
    </row>
    <row r="72" spans="1:12" x14ac:dyDescent="0.2">
      <c r="A72" s="1">
        <v>42980.718634259261</v>
      </c>
      <c r="B72">
        <v>921.19960000000003</v>
      </c>
      <c r="C72">
        <v>23</v>
      </c>
      <c r="D72" t="s">
        <v>35</v>
      </c>
      <c r="E72" t="s">
        <v>6</v>
      </c>
      <c r="F72" t="s">
        <v>33</v>
      </c>
      <c r="G72">
        <v>-4.1100000000000003</v>
      </c>
      <c r="H72">
        <v>1.55</v>
      </c>
      <c r="I72">
        <v>0.09</v>
      </c>
      <c r="J72">
        <v>12.242889999999999</v>
      </c>
      <c r="K72">
        <v>85.892910000000001</v>
      </c>
      <c r="L72">
        <v>353.72949999999997</v>
      </c>
    </row>
    <row r="73" spans="1:12" x14ac:dyDescent="0.2">
      <c r="A73" s="1">
        <v>42980.718819444446</v>
      </c>
      <c r="B73">
        <v>937.7183</v>
      </c>
      <c r="C73">
        <v>23</v>
      </c>
      <c r="D73" t="s">
        <v>36</v>
      </c>
      <c r="E73" t="s">
        <v>6</v>
      </c>
      <c r="F73" t="s">
        <v>33</v>
      </c>
      <c r="G73">
        <v>-8.6948340000000002</v>
      </c>
      <c r="H73">
        <v>1.55</v>
      </c>
      <c r="I73">
        <v>2.5067949999999999</v>
      </c>
      <c r="J73">
        <v>3.4272140000000002</v>
      </c>
      <c r="K73">
        <v>268.58210000000003</v>
      </c>
      <c r="L73">
        <v>357.91989999999998</v>
      </c>
    </row>
    <row r="74" spans="1:12" x14ac:dyDescent="0.2">
      <c r="A74" s="1">
        <v>42980.718854166669</v>
      </c>
      <c r="B74">
        <v>940.69740000000002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1.55</v>
      </c>
      <c r="I74">
        <v>2.7240000000000002</v>
      </c>
      <c r="J74">
        <v>3.7631079999999999</v>
      </c>
      <c r="K74">
        <v>238.8939</v>
      </c>
      <c r="L74">
        <v>358.17020000000002</v>
      </c>
    </row>
    <row r="75" spans="1:12" x14ac:dyDescent="0.2">
      <c r="A75" s="1">
        <v>42980.718912037039</v>
      </c>
      <c r="B75">
        <v>945.73500000000001</v>
      </c>
      <c r="C75">
        <v>24</v>
      </c>
      <c r="D75" t="s">
        <v>35</v>
      </c>
      <c r="E75" t="s">
        <v>5</v>
      </c>
      <c r="F75" t="s">
        <v>2</v>
      </c>
      <c r="G75">
        <v>1.6E-2</v>
      </c>
      <c r="H75">
        <v>1.55</v>
      </c>
      <c r="I75">
        <v>2.7240000000000002</v>
      </c>
      <c r="J75">
        <v>9.8854360000000003</v>
      </c>
      <c r="K75">
        <v>93.800399999999996</v>
      </c>
      <c r="L75">
        <v>1.7986740000000001</v>
      </c>
    </row>
    <row r="76" spans="1:12" x14ac:dyDescent="0.2">
      <c r="A76" s="1">
        <v>42980.719097222223</v>
      </c>
      <c r="B76">
        <v>961.11490000000003</v>
      </c>
      <c r="C76">
        <v>24</v>
      </c>
      <c r="D76" t="s">
        <v>36</v>
      </c>
      <c r="E76" t="s">
        <v>5</v>
      </c>
      <c r="F76" t="s">
        <v>2</v>
      </c>
      <c r="G76">
        <v>5.2697130000000003</v>
      </c>
      <c r="H76">
        <v>1.55</v>
      </c>
      <c r="I76">
        <v>-4.771388</v>
      </c>
      <c r="J76">
        <v>350.68090000000001</v>
      </c>
      <c r="K76">
        <v>55.718260000000001</v>
      </c>
      <c r="L76">
        <v>357.49400000000003</v>
      </c>
    </row>
    <row r="77" spans="1:12" x14ac:dyDescent="0.2">
      <c r="A77" s="1">
        <v>42980.719108796293</v>
      </c>
      <c r="B77">
        <v>962.13570000000004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1.55</v>
      </c>
      <c r="I77">
        <v>4.1399999999999997</v>
      </c>
      <c r="J77">
        <v>3.5826600000000002</v>
      </c>
      <c r="K77">
        <v>58.961440000000003</v>
      </c>
      <c r="L77">
        <v>357.53890000000001</v>
      </c>
    </row>
    <row r="78" spans="1:12" x14ac:dyDescent="0.2">
      <c r="A78" s="1">
        <v>42980.719131944446</v>
      </c>
      <c r="B78">
        <v>964.56230000000005</v>
      </c>
      <c r="C78">
        <v>25</v>
      </c>
      <c r="D78" t="s">
        <v>35</v>
      </c>
      <c r="E78" t="s">
        <v>1</v>
      </c>
      <c r="F78" t="s">
        <v>5</v>
      </c>
      <c r="G78">
        <v>-4.0789999999999997</v>
      </c>
      <c r="H78">
        <v>1.55</v>
      </c>
      <c r="I78">
        <v>4.1399999999999997</v>
      </c>
      <c r="J78">
        <v>12.17984</v>
      </c>
      <c r="K78">
        <v>129.3621</v>
      </c>
      <c r="L78">
        <v>354.73649999999998</v>
      </c>
    </row>
    <row r="79" spans="1:12" x14ac:dyDescent="0.2">
      <c r="A79" s="1">
        <v>42980.719328703701</v>
      </c>
      <c r="B79">
        <v>981.31560000000002</v>
      </c>
      <c r="C79">
        <v>25</v>
      </c>
      <c r="D79" t="s">
        <v>36</v>
      </c>
      <c r="E79" t="s">
        <v>1</v>
      </c>
      <c r="F79" t="s">
        <v>5</v>
      </c>
      <c r="G79">
        <v>2.8929179999999999</v>
      </c>
      <c r="H79">
        <v>1.55</v>
      </c>
      <c r="I79">
        <v>6.2480390000000003</v>
      </c>
      <c r="J79">
        <v>358.80419999999998</v>
      </c>
      <c r="K79">
        <v>341.56700000000001</v>
      </c>
      <c r="L79">
        <v>357.81630000000001</v>
      </c>
    </row>
    <row r="80" spans="1:12" x14ac:dyDescent="0.2">
      <c r="A80" s="1">
        <v>42980.719340277778</v>
      </c>
      <c r="B80">
        <v>982.47040000000004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1.55</v>
      </c>
      <c r="I80">
        <v>-0.67300000000000004</v>
      </c>
      <c r="J80">
        <v>0.90719320000000003</v>
      </c>
      <c r="K80">
        <v>339.63819999999998</v>
      </c>
      <c r="L80">
        <v>358.75630000000001</v>
      </c>
    </row>
    <row r="81" spans="1:12" x14ac:dyDescent="0.2">
      <c r="A81" s="1">
        <v>42980.719375000001</v>
      </c>
      <c r="B81">
        <v>985.5498</v>
      </c>
      <c r="C81">
        <v>26</v>
      </c>
      <c r="D81" t="s">
        <v>35</v>
      </c>
      <c r="E81" t="s">
        <v>4</v>
      </c>
      <c r="F81" t="s">
        <v>6</v>
      </c>
      <c r="G81">
        <v>3.9180000000000001</v>
      </c>
      <c r="H81">
        <v>1.55</v>
      </c>
      <c r="I81">
        <v>-0.67300000000000004</v>
      </c>
      <c r="J81">
        <v>8.6328119999999995</v>
      </c>
      <c r="K81">
        <v>20.23264</v>
      </c>
      <c r="L81">
        <v>354.7869</v>
      </c>
    </row>
    <row r="82" spans="1:12" x14ac:dyDescent="0.2">
      <c r="A82" s="1">
        <v>42980.719502314816</v>
      </c>
      <c r="B82">
        <v>996.98159999999996</v>
      </c>
      <c r="C82">
        <v>26</v>
      </c>
      <c r="D82" t="s">
        <v>36</v>
      </c>
      <c r="E82" t="s">
        <v>4</v>
      </c>
      <c r="F82" t="s">
        <v>6</v>
      </c>
      <c r="G82">
        <v>-5.5723710000000004</v>
      </c>
      <c r="H82">
        <v>1.55</v>
      </c>
      <c r="I82">
        <v>-1.1987840000000001</v>
      </c>
      <c r="J82">
        <v>2.3234029999999999</v>
      </c>
      <c r="K82">
        <v>178.7063</v>
      </c>
      <c r="L82">
        <v>356.6798</v>
      </c>
    </row>
    <row r="83" spans="1:12" x14ac:dyDescent="0.2">
      <c r="A83" s="1">
        <v>42980.719525462962</v>
      </c>
      <c r="B83">
        <v>998.48770000000002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1.55</v>
      </c>
      <c r="I83">
        <v>2.7240000000000002</v>
      </c>
      <c r="J83">
        <v>5.3741909999999997</v>
      </c>
      <c r="K83">
        <v>176.06649999999999</v>
      </c>
      <c r="L83">
        <v>355.86169999999998</v>
      </c>
    </row>
    <row r="84" spans="1:12" x14ac:dyDescent="0.2">
      <c r="A84" s="1">
        <v>42980.719548611109</v>
      </c>
      <c r="B84">
        <v>1000.914</v>
      </c>
      <c r="C84">
        <v>27</v>
      </c>
      <c r="D84" t="s">
        <v>35</v>
      </c>
      <c r="E84" t="s">
        <v>5</v>
      </c>
      <c r="F84" t="s">
        <v>2</v>
      </c>
      <c r="G84">
        <v>1.6E-2</v>
      </c>
      <c r="H84">
        <v>1.55</v>
      </c>
      <c r="I84">
        <v>2.7240000000000002</v>
      </c>
      <c r="J84">
        <v>7.2538039999999997</v>
      </c>
      <c r="K84">
        <v>204.04910000000001</v>
      </c>
      <c r="L84">
        <v>355.60730000000001</v>
      </c>
    </row>
    <row r="85" spans="1:12" x14ac:dyDescent="0.2">
      <c r="A85" s="1">
        <v>42980.719687500001</v>
      </c>
      <c r="B85">
        <v>1012.127</v>
      </c>
      <c r="C85">
        <v>27</v>
      </c>
      <c r="D85" t="s">
        <v>36</v>
      </c>
      <c r="E85" t="s">
        <v>5</v>
      </c>
      <c r="F85" t="s">
        <v>2</v>
      </c>
      <c r="G85">
        <v>7.7716320000000003</v>
      </c>
      <c r="H85">
        <v>1.55</v>
      </c>
      <c r="I85">
        <v>-4.3204440000000002</v>
      </c>
      <c r="J85">
        <v>5.1577669999999998</v>
      </c>
      <c r="K85">
        <v>43.05265</v>
      </c>
      <c r="L85">
        <v>356.40309999999999</v>
      </c>
    </row>
    <row r="86" spans="1:12" x14ac:dyDescent="0.2">
      <c r="A86" s="1">
        <v>42980.719699074078</v>
      </c>
      <c r="B86">
        <v>1013.182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1.55</v>
      </c>
      <c r="I86">
        <v>-4.117</v>
      </c>
      <c r="J86">
        <v>9.7451509999999999</v>
      </c>
      <c r="K86">
        <v>43.991349999999997</v>
      </c>
      <c r="L86">
        <v>356.30220000000003</v>
      </c>
    </row>
    <row r="87" spans="1:12" x14ac:dyDescent="0.2">
      <c r="A87" s="1">
        <v>42980.719710648147</v>
      </c>
      <c r="B87">
        <v>1014.353</v>
      </c>
      <c r="C87">
        <v>28</v>
      </c>
      <c r="D87" t="s">
        <v>35</v>
      </c>
      <c r="E87" t="s">
        <v>0</v>
      </c>
      <c r="F87" t="s">
        <v>1</v>
      </c>
      <c r="G87">
        <v>-0.85</v>
      </c>
      <c r="H87">
        <v>1.55</v>
      </c>
      <c r="I87">
        <v>-4.117</v>
      </c>
      <c r="J87">
        <v>10.776960000000001</v>
      </c>
      <c r="K87">
        <v>40.548050000000003</v>
      </c>
      <c r="L87">
        <v>357.29079999999999</v>
      </c>
    </row>
    <row r="88" spans="1:12" x14ac:dyDescent="0.2">
      <c r="A88" s="1">
        <v>42980.719872685186</v>
      </c>
      <c r="B88">
        <v>1028.9960000000001</v>
      </c>
      <c r="C88">
        <v>28</v>
      </c>
      <c r="D88" t="s">
        <v>36</v>
      </c>
      <c r="E88" t="s">
        <v>0</v>
      </c>
      <c r="F88" t="s">
        <v>1</v>
      </c>
      <c r="G88">
        <v>4.686337</v>
      </c>
      <c r="H88">
        <v>1.55</v>
      </c>
      <c r="I88">
        <v>3.065048</v>
      </c>
      <c r="J88">
        <v>8.5482900000000001E-2</v>
      </c>
      <c r="K88">
        <v>307.03410000000002</v>
      </c>
      <c r="L88">
        <v>358.11090000000002</v>
      </c>
    </row>
    <row r="89" spans="1:12" x14ac:dyDescent="0.2">
      <c r="A89" s="1">
        <v>42980.719884259262</v>
      </c>
      <c r="B89">
        <v>1030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1.55</v>
      </c>
      <c r="I89">
        <v>-1.4059999999999999</v>
      </c>
      <c r="J89">
        <v>0.94606290000000004</v>
      </c>
      <c r="K89">
        <v>307.52379999999999</v>
      </c>
      <c r="L89">
        <v>357.19779999999997</v>
      </c>
    </row>
    <row r="90" spans="1:12" x14ac:dyDescent="0.2">
      <c r="A90" s="1">
        <v>42980.719907407409</v>
      </c>
      <c r="B90">
        <v>1031.2049999999999</v>
      </c>
      <c r="C90">
        <v>29</v>
      </c>
      <c r="D90" t="s">
        <v>35</v>
      </c>
      <c r="E90" t="s">
        <v>33</v>
      </c>
      <c r="F90" t="s">
        <v>3</v>
      </c>
      <c r="G90">
        <v>-3.9809999999999999</v>
      </c>
      <c r="H90">
        <v>1.55</v>
      </c>
      <c r="I90">
        <v>-1.4059999999999999</v>
      </c>
      <c r="J90">
        <v>4.4059600000000003</v>
      </c>
      <c r="K90">
        <v>310.34829999999999</v>
      </c>
      <c r="L90">
        <v>357.44040000000001</v>
      </c>
    </row>
    <row r="91" spans="1:12" x14ac:dyDescent="0.2">
      <c r="A91" s="1">
        <v>42980.720034722224</v>
      </c>
      <c r="B91">
        <v>1042.067</v>
      </c>
      <c r="C91">
        <v>29</v>
      </c>
      <c r="D91" t="s">
        <v>36</v>
      </c>
      <c r="E91" t="s">
        <v>33</v>
      </c>
      <c r="F91" t="s">
        <v>3</v>
      </c>
      <c r="G91">
        <v>-7.1830030000000002</v>
      </c>
      <c r="H91">
        <v>1.55</v>
      </c>
      <c r="I91">
        <v>-7.1186420000000004</v>
      </c>
      <c r="J91">
        <v>5.8794120000000003</v>
      </c>
      <c r="K91">
        <v>125.0325</v>
      </c>
      <c r="L91">
        <v>357.36680000000001</v>
      </c>
    </row>
    <row r="92" spans="1:12" x14ac:dyDescent="0.2">
      <c r="A92" s="1">
        <v>42980.720057870371</v>
      </c>
      <c r="B92">
        <v>1044.6780000000001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1.55</v>
      </c>
      <c r="I92">
        <v>0.09</v>
      </c>
      <c r="J92">
        <v>10.116989999999999</v>
      </c>
      <c r="K92">
        <v>129.5326</v>
      </c>
      <c r="L92">
        <v>1.283477</v>
      </c>
    </row>
    <row r="93" spans="1:12" x14ac:dyDescent="0.2">
      <c r="A93" s="1">
        <v>42980.720092592594</v>
      </c>
      <c r="B93">
        <v>1047.9749999999999</v>
      </c>
      <c r="C93">
        <v>30</v>
      </c>
      <c r="D93" t="s">
        <v>35</v>
      </c>
      <c r="E93" t="s">
        <v>6</v>
      </c>
      <c r="F93" t="s">
        <v>33</v>
      </c>
      <c r="G93">
        <v>-4.1100070000000004</v>
      </c>
      <c r="H93">
        <v>1.55</v>
      </c>
      <c r="I93">
        <v>8.9991000000000002E-2</v>
      </c>
      <c r="J93">
        <v>9.73292</v>
      </c>
      <c r="K93">
        <v>68.27122</v>
      </c>
      <c r="L93">
        <v>3.6571250000000002</v>
      </c>
    </row>
    <row r="94" spans="1:12" x14ac:dyDescent="0.2">
      <c r="A94" s="1">
        <v>42980.720266203702</v>
      </c>
      <c r="B94">
        <v>1062.3340000000001</v>
      </c>
      <c r="C94">
        <v>30</v>
      </c>
      <c r="D94" t="s">
        <v>36</v>
      </c>
      <c r="E94" t="s">
        <v>6</v>
      </c>
      <c r="F94" t="s">
        <v>33</v>
      </c>
      <c r="G94">
        <v>4.7784240000000002</v>
      </c>
      <c r="H94">
        <v>1.55</v>
      </c>
      <c r="I94">
        <v>8.8396889999999999</v>
      </c>
      <c r="J94">
        <v>5.6044470000000004</v>
      </c>
      <c r="K94">
        <v>316.78930000000003</v>
      </c>
      <c r="L94">
        <v>354.77109999999999</v>
      </c>
    </row>
    <row r="95" spans="1:12" x14ac:dyDescent="0.2">
      <c r="A95" s="1">
        <v>42980.720277777778</v>
      </c>
      <c r="B95">
        <v>1063.355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1.55</v>
      </c>
      <c r="I95">
        <v>-4.3440000000000003</v>
      </c>
      <c r="J95">
        <v>5.3680909999999997</v>
      </c>
      <c r="K95">
        <v>315.23450000000003</v>
      </c>
      <c r="L95">
        <v>355.37520000000001</v>
      </c>
    </row>
    <row r="96" spans="1:12" x14ac:dyDescent="0.2">
      <c r="A96" s="1">
        <v>42980.720289351855</v>
      </c>
      <c r="B96">
        <v>1064.577</v>
      </c>
      <c r="C96">
        <v>31</v>
      </c>
      <c r="D96" t="s">
        <v>35</v>
      </c>
      <c r="E96" t="s">
        <v>2</v>
      </c>
      <c r="F96" t="s">
        <v>0</v>
      </c>
      <c r="G96">
        <v>3.5160079999999998</v>
      </c>
      <c r="H96">
        <v>1.55</v>
      </c>
      <c r="I96">
        <v>-4.3439920000000001</v>
      </c>
      <c r="J96">
        <v>7.2294159999999996</v>
      </c>
      <c r="K96">
        <v>319.52699999999999</v>
      </c>
      <c r="L96">
        <v>356.03410000000002</v>
      </c>
    </row>
    <row r="97" spans="1:12" x14ac:dyDescent="0.2">
      <c r="A97" s="1">
        <v>42980.72042824074</v>
      </c>
      <c r="B97">
        <v>1076.5940000000001</v>
      </c>
      <c r="C97">
        <v>31</v>
      </c>
      <c r="D97" t="s">
        <v>36</v>
      </c>
      <c r="E97" t="s">
        <v>2</v>
      </c>
      <c r="F97" t="s">
        <v>0</v>
      </c>
      <c r="G97">
        <v>-3.4771800000000002</v>
      </c>
      <c r="H97">
        <v>1.55</v>
      </c>
      <c r="I97">
        <v>4.2236180000000001</v>
      </c>
      <c r="J97">
        <v>353.4067</v>
      </c>
      <c r="K97">
        <v>218.62950000000001</v>
      </c>
      <c r="L97">
        <v>2.2816860000000001</v>
      </c>
    </row>
    <row r="98" spans="1:12" x14ac:dyDescent="0.2">
      <c r="A98" s="1">
        <v>42980.720439814817</v>
      </c>
      <c r="B98">
        <v>1077.615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1.55</v>
      </c>
      <c r="I98">
        <v>1.8169999999999999</v>
      </c>
      <c r="J98">
        <v>358.35550000000001</v>
      </c>
      <c r="K98">
        <v>222.9256</v>
      </c>
      <c r="L98">
        <v>357.07690000000002</v>
      </c>
    </row>
    <row r="99" spans="1:12" x14ac:dyDescent="0.2">
      <c r="A99" s="1">
        <v>42980.720451388886</v>
      </c>
      <c r="B99">
        <v>1078.635</v>
      </c>
      <c r="C99">
        <v>32</v>
      </c>
      <c r="D99" t="s">
        <v>35</v>
      </c>
      <c r="E99" t="s">
        <v>3</v>
      </c>
      <c r="F99" t="s">
        <v>4</v>
      </c>
      <c r="G99">
        <v>3.3730000000000002</v>
      </c>
      <c r="H99">
        <v>1.55</v>
      </c>
      <c r="I99">
        <v>1.8169999999999999</v>
      </c>
      <c r="J99">
        <v>11.80721</v>
      </c>
      <c r="K99">
        <v>257.6943</v>
      </c>
      <c r="L99">
        <v>356.12920000000003</v>
      </c>
    </row>
    <row r="100" spans="1:12" x14ac:dyDescent="0.2">
      <c r="A100" s="1">
        <v>42980.720590277779</v>
      </c>
      <c r="B100">
        <v>1091.0530000000001</v>
      </c>
      <c r="C100">
        <v>32</v>
      </c>
      <c r="D100" t="s">
        <v>36</v>
      </c>
      <c r="E100" t="s">
        <v>3</v>
      </c>
      <c r="F100" t="s">
        <v>4</v>
      </c>
      <c r="G100">
        <v>-0.20520830000000001</v>
      </c>
      <c r="H100">
        <v>1.55</v>
      </c>
      <c r="I100">
        <v>-5.2224700000000004</v>
      </c>
      <c r="J100">
        <v>3.7233640000000001</v>
      </c>
      <c r="K100">
        <v>118.4958</v>
      </c>
      <c r="L100">
        <v>353.69889999999998</v>
      </c>
    </row>
    <row r="101" spans="1:12" x14ac:dyDescent="0.2">
      <c r="A101" s="1">
        <v>42980.720613425925</v>
      </c>
      <c r="B101">
        <v>1092.3589999999999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1.55</v>
      </c>
      <c r="I101">
        <v>0.09</v>
      </c>
      <c r="J101">
        <v>8.3750900000000001</v>
      </c>
      <c r="K101">
        <v>115.36279999999999</v>
      </c>
      <c r="L101">
        <v>357.66109999999998</v>
      </c>
    </row>
    <row r="102" spans="1:12" x14ac:dyDescent="0.2">
      <c r="A102" s="1">
        <v>42980.720648148148</v>
      </c>
      <c r="B102">
        <v>1095.4380000000001</v>
      </c>
      <c r="C102">
        <v>33</v>
      </c>
      <c r="D102" t="s">
        <v>35</v>
      </c>
      <c r="E102" t="s">
        <v>6</v>
      </c>
      <c r="F102" t="s">
        <v>33</v>
      </c>
      <c r="G102">
        <v>-4.1100000000000003</v>
      </c>
      <c r="H102">
        <v>1.55</v>
      </c>
      <c r="I102">
        <v>0.09</v>
      </c>
      <c r="J102">
        <v>11.828239999999999</v>
      </c>
      <c r="K102">
        <v>31.871079999999999</v>
      </c>
      <c r="L102">
        <v>6.0799620000000001</v>
      </c>
    </row>
    <row r="103" spans="1:12" x14ac:dyDescent="0.2">
      <c r="A103" s="1">
        <v>42980.72079861111</v>
      </c>
      <c r="B103">
        <v>1108.693</v>
      </c>
      <c r="C103">
        <v>33</v>
      </c>
      <c r="D103" t="s">
        <v>36</v>
      </c>
      <c r="E103" t="s">
        <v>6</v>
      </c>
      <c r="F103" t="s">
        <v>33</v>
      </c>
      <c r="G103">
        <v>-3.795642</v>
      </c>
      <c r="H103">
        <v>1.55</v>
      </c>
      <c r="I103">
        <v>7.6091819999999997</v>
      </c>
      <c r="J103">
        <v>7.2220589999999998</v>
      </c>
      <c r="K103">
        <v>267.62490000000003</v>
      </c>
      <c r="L103">
        <v>355.42950000000002</v>
      </c>
    </row>
    <row r="104" spans="1:12" x14ac:dyDescent="0.2">
      <c r="A104" s="1">
        <v>42980.720810185187</v>
      </c>
      <c r="B104">
        <v>1109.7139999999999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1.55</v>
      </c>
      <c r="I104">
        <v>-0.67300000000000004</v>
      </c>
      <c r="J104">
        <v>8.4449729999999992</v>
      </c>
      <c r="K104">
        <v>267.07040000000001</v>
      </c>
      <c r="L104">
        <v>355.9633</v>
      </c>
    </row>
    <row r="105" spans="1:12" x14ac:dyDescent="0.2">
      <c r="A105" s="1">
        <v>42980.72084490741</v>
      </c>
      <c r="B105">
        <v>1112.9770000000001</v>
      </c>
      <c r="C105">
        <v>34</v>
      </c>
      <c r="D105" t="s">
        <v>35</v>
      </c>
      <c r="E105" t="s">
        <v>4</v>
      </c>
      <c r="F105" t="s">
        <v>6</v>
      </c>
      <c r="G105">
        <v>3.9104739999999998</v>
      </c>
      <c r="H105">
        <v>1.55</v>
      </c>
      <c r="I105">
        <v>-0.66928149999999997</v>
      </c>
      <c r="J105">
        <v>8.4676069999999992</v>
      </c>
      <c r="K105">
        <v>198.3228</v>
      </c>
      <c r="L105">
        <v>4.0570519999999997</v>
      </c>
    </row>
    <row r="106" spans="1:12" x14ac:dyDescent="0.2">
      <c r="A106" s="1">
        <v>42980.720983796295</v>
      </c>
      <c r="B106">
        <v>1124.809</v>
      </c>
      <c r="C106">
        <v>34</v>
      </c>
      <c r="D106" t="s">
        <v>36</v>
      </c>
      <c r="E106" t="s">
        <v>4</v>
      </c>
      <c r="F106" t="s">
        <v>6</v>
      </c>
      <c r="G106">
        <v>-9.220542</v>
      </c>
      <c r="H106">
        <v>1.55</v>
      </c>
      <c r="I106">
        <v>3.911451</v>
      </c>
      <c r="J106">
        <v>3.8505379999999998</v>
      </c>
      <c r="K106">
        <v>204.47020000000001</v>
      </c>
      <c r="L106">
        <v>356.64890000000003</v>
      </c>
    </row>
    <row r="107" spans="1:12" x14ac:dyDescent="0.2">
      <c r="A107" s="1">
        <v>42980.720995370371</v>
      </c>
      <c r="B107">
        <v>1125.8969999999999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1.55</v>
      </c>
      <c r="I107">
        <v>2.7240000000000002</v>
      </c>
      <c r="J107">
        <v>3.82911</v>
      </c>
      <c r="K107">
        <v>204.9957</v>
      </c>
      <c r="L107">
        <v>356.19049999999999</v>
      </c>
    </row>
    <row r="108" spans="1:12" x14ac:dyDescent="0.2">
      <c r="A108" s="1">
        <v>42980.721030092594</v>
      </c>
      <c r="B108">
        <v>1128.675</v>
      </c>
      <c r="C108">
        <v>35</v>
      </c>
      <c r="D108" t="s">
        <v>35</v>
      </c>
      <c r="E108" t="s">
        <v>5</v>
      </c>
      <c r="F108" t="s">
        <v>2</v>
      </c>
      <c r="G108">
        <v>1.6E-2</v>
      </c>
      <c r="H108">
        <v>1.55</v>
      </c>
      <c r="I108">
        <v>2.7240000000000002</v>
      </c>
      <c r="J108">
        <v>12.81751</v>
      </c>
      <c r="K108">
        <v>253.9306</v>
      </c>
      <c r="L108">
        <v>357.91469999999998</v>
      </c>
    </row>
    <row r="109" spans="1:12" x14ac:dyDescent="0.2">
      <c r="A109" s="1">
        <v>42980.721168981479</v>
      </c>
      <c r="B109">
        <v>1140.1569999999999</v>
      </c>
      <c r="C109">
        <v>35</v>
      </c>
      <c r="D109" t="s">
        <v>36</v>
      </c>
      <c r="E109" t="s">
        <v>5</v>
      </c>
      <c r="F109" t="s">
        <v>2</v>
      </c>
      <c r="G109">
        <v>6.3780419999999998</v>
      </c>
      <c r="H109">
        <v>1.55</v>
      </c>
      <c r="I109">
        <v>-6.9899519999999997</v>
      </c>
      <c r="J109">
        <v>1.839442</v>
      </c>
      <c r="K109">
        <v>58.974159999999998</v>
      </c>
      <c r="L109">
        <v>356.64499999999998</v>
      </c>
    </row>
    <row r="110" spans="1:12" x14ac:dyDescent="0.2">
      <c r="A110" s="1">
        <v>42980.721180555556</v>
      </c>
      <c r="B110">
        <v>1141.2619999999999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1.55</v>
      </c>
      <c r="I110">
        <v>1.8169999999999999</v>
      </c>
      <c r="J110">
        <v>4.7893410000000003</v>
      </c>
      <c r="K110">
        <v>60.406419999999997</v>
      </c>
      <c r="L110">
        <v>356.64769999999999</v>
      </c>
    </row>
    <row r="111" spans="1:12" x14ac:dyDescent="0.2">
      <c r="A111" s="1">
        <v>42980.721215277779</v>
      </c>
      <c r="B111">
        <v>1144.559</v>
      </c>
      <c r="C111">
        <v>36</v>
      </c>
      <c r="D111" t="s">
        <v>35</v>
      </c>
      <c r="E111" t="s">
        <v>3</v>
      </c>
      <c r="F111" t="s">
        <v>4</v>
      </c>
      <c r="G111">
        <v>3.3730000000000002</v>
      </c>
      <c r="H111">
        <v>1.55</v>
      </c>
      <c r="I111">
        <v>1.8169999999999999</v>
      </c>
      <c r="J111">
        <v>13.298769999999999</v>
      </c>
      <c r="K111">
        <v>88.944329999999994</v>
      </c>
      <c r="L111">
        <v>354.97829999999999</v>
      </c>
    </row>
    <row r="112" spans="1:12" x14ac:dyDescent="0.2">
      <c r="A112" s="1">
        <v>42980.721400462964</v>
      </c>
      <c r="B112">
        <v>1160.0740000000001</v>
      </c>
      <c r="C112">
        <v>36</v>
      </c>
      <c r="D112" t="s">
        <v>36</v>
      </c>
      <c r="E112" t="s">
        <v>3</v>
      </c>
      <c r="F112" t="s">
        <v>4</v>
      </c>
      <c r="G112">
        <v>2.8212809999999999</v>
      </c>
      <c r="H112">
        <v>1.55</v>
      </c>
      <c r="I112">
        <v>17.272449999999999</v>
      </c>
      <c r="J112">
        <v>7.6266059999999998</v>
      </c>
      <c r="K112">
        <v>267.63200000000001</v>
      </c>
      <c r="L112">
        <v>356.76900000000001</v>
      </c>
    </row>
    <row r="113" spans="1:12" x14ac:dyDescent="0.2">
      <c r="A113" s="1">
        <v>42980.721412037034</v>
      </c>
      <c r="B113">
        <v>1161.4960000000001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1.55</v>
      </c>
      <c r="I113">
        <v>0.09</v>
      </c>
      <c r="J113">
        <v>4.2121130000000004</v>
      </c>
      <c r="K113">
        <v>273.911</v>
      </c>
      <c r="L113">
        <v>358.89139999999998</v>
      </c>
    </row>
    <row r="114" spans="1:12" x14ac:dyDescent="0.2">
      <c r="A114" s="1">
        <v>42980.721562500003</v>
      </c>
      <c r="B114">
        <v>1174.4839999999999</v>
      </c>
      <c r="C114">
        <v>37</v>
      </c>
      <c r="D114" t="s">
        <v>35</v>
      </c>
      <c r="E114" t="s">
        <v>6</v>
      </c>
      <c r="F114" t="s">
        <v>33</v>
      </c>
      <c r="G114">
        <v>-4.0794160000000002</v>
      </c>
      <c r="H114">
        <v>1.55</v>
      </c>
      <c r="I114">
        <v>9.393696E-2</v>
      </c>
      <c r="J114">
        <v>8.693066</v>
      </c>
      <c r="K114">
        <v>230.96619999999999</v>
      </c>
      <c r="L114">
        <v>356.71730000000002</v>
      </c>
    </row>
    <row r="115" spans="1:12" x14ac:dyDescent="0.2">
      <c r="A115" s="1">
        <v>42980.721724537034</v>
      </c>
      <c r="B115">
        <v>1188.6769999999999</v>
      </c>
      <c r="C115">
        <v>37</v>
      </c>
      <c r="D115" t="s">
        <v>36</v>
      </c>
      <c r="E115" t="s">
        <v>6</v>
      </c>
      <c r="F115" t="s">
        <v>33</v>
      </c>
      <c r="G115">
        <v>-2.8874900000000001</v>
      </c>
      <c r="H115">
        <v>1.55</v>
      </c>
      <c r="I115">
        <v>10.937609999999999</v>
      </c>
      <c r="J115">
        <v>3.865094</v>
      </c>
      <c r="K115">
        <v>276.6198</v>
      </c>
      <c r="L115">
        <v>353.7903</v>
      </c>
    </row>
    <row r="116" spans="1:12" x14ac:dyDescent="0.2">
      <c r="A116" s="1">
        <v>42980.721736111111</v>
      </c>
      <c r="B116">
        <v>1189.8150000000001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1.55</v>
      </c>
      <c r="I116">
        <v>-4.3440000000000003</v>
      </c>
      <c r="J116">
        <v>6.9543850000000003</v>
      </c>
      <c r="K116">
        <v>273.79899999999998</v>
      </c>
      <c r="L116">
        <v>354.19130000000001</v>
      </c>
    </row>
    <row r="117" spans="1:12" x14ac:dyDescent="0.2">
      <c r="A117" s="1">
        <v>42980.721782407411</v>
      </c>
      <c r="B117">
        <v>1193.748</v>
      </c>
      <c r="C117">
        <v>38</v>
      </c>
      <c r="D117" t="s">
        <v>35</v>
      </c>
      <c r="E117" t="s">
        <v>2</v>
      </c>
      <c r="F117" t="s">
        <v>0</v>
      </c>
      <c r="G117">
        <v>3.5160040000000001</v>
      </c>
      <c r="H117">
        <v>1.55</v>
      </c>
      <c r="I117">
        <v>-4.3439360000000002</v>
      </c>
      <c r="J117">
        <v>5.4001250000000001</v>
      </c>
      <c r="K117">
        <v>219.79349999999999</v>
      </c>
      <c r="L117">
        <v>358.61239999999998</v>
      </c>
    </row>
    <row r="118" spans="1:12" x14ac:dyDescent="0.2">
      <c r="A118" s="1">
        <v>42980.721967592595</v>
      </c>
      <c r="B118">
        <v>1209.73</v>
      </c>
      <c r="C118">
        <v>38</v>
      </c>
      <c r="D118" t="s">
        <v>36</v>
      </c>
      <c r="E118" t="s">
        <v>2</v>
      </c>
      <c r="F118" t="s">
        <v>0</v>
      </c>
      <c r="G118">
        <v>-1.7667360000000001</v>
      </c>
      <c r="H118">
        <v>1.55</v>
      </c>
      <c r="I118">
        <v>9.1629719999999999</v>
      </c>
      <c r="J118">
        <v>0.6283531</v>
      </c>
      <c r="K118">
        <v>251.34880000000001</v>
      </c>
      <c r="L118">
        <v>353.62329999999997</v>
      </c>
    </row>
    <row r="119" spans="1:12" x14ac:dyDescent="0.2">
      <c r="A119" s="1">
        <v>42980.721979166665</v>
      </c>
      <c r="B119">
        <v>1210.751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1.55</v>
      </c>
      <c r="I119">
        <v>4.1399999999999997</v>
      </c>
      <c r="J119">
        <v>3.9435739999999999</v>
      </c>
      <c r="K119">
        <v>251.04910000000001</v>
      </c>
      <c r="L119">
        <v>354.55650000000003</v>
      </c>
    </row>
    <row r="120" spans="1:12" x14ac:dyDescent="0.2">
      <c r="A120" s="1">
        <v>42980.722013888888</v>
      </c>
      <c r="B120">
        <v>1213.3789999999999</v>
      </c>
      <c r="C120">
        <v>39</v>
      </c>
      <c r="D120" t="s">
        <v>35</v>
      </c>
      <c r="E120" t="s">
        <v>1</v>
      </c>
      <c r="F120" t="s">
        <v>5</v>
      </c>
      <c r="G120">
        <v>-4.0789999999999997</v>
      </c>
      <c r="H120">
        <v>1.55</v>
      </c>
      <c r="I120">
        <v>4.1399999999999997</v>
      </c>
      <c r="J120">
        <v>9.6545550000000002</v>
      </c>
      <c r="K120">
        <v>279.37549999999999</v>
      </c>
      <c r="L120">
        <v>352.26979999999998</v>
      </c>
    </row>
    <row r="121" spans="1:12" x14ac:dyDescent="0.2">
      <c r="A121" s="1">
        <v>42980.722268518519</v>
      </c>
      <c r="B121">
        <v>1235.3040000000001</v>
      </c>
      <c r="C121">
        <v>39</v>
      </c>
      <c r="D121" t="s">
        <v>36</v>
      </c>
      <c r="E121" t="s">
        <v>1</v>
      </c>
      <c r="F121" t="s">
        <v>5</v>
      </c>
      <c r="G121">
        <v>-11.27351</v>
      </c>
      <c r="H121">
        <v>1.55</v>
      </c>
      <c r="I121">
        <v>-5.6691640000000003</v>
      </c>
      <c r="J121">
        <v>9.8094769999999993</v>
      </c>
      <c r="K121">
        <v>122.23099999999999</v>
      </c>
      <c r="L121">
        <v>354.52760000000001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(40)'!$C$2:$L$247,3,0)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(40)'!$C$2:$L$247,5,1)</f>
        <v>-10.25502</v>
      </c>
      <c r="G2" s="3">
        <f>VLOOKUP($A2,'Summary Data (40)'!$C$2:$L$247,6,1)</f>
        <v>1.55</v>
      </c>
      <c r="H2" s="3">
        <f>VLOOKUP($A2,'Summary Data (40)'!$C$2:$L$247,7,1)</f>
        <v>-4.1306890000000003</v>
      </c>
      <c r="I2" s="3" t="str">
        <f>VLOOKUP($A2,'Summary Data (40)'!$C$2:$L$247,4,0)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9.4050299621596647</v>
      </c>
      <c r="N2" s="3">
        <f t="shared" ref="N2:N41" si="1">ABS(SQRT((F2-C2)^2+(H2-E2)^2))</f>
        <v>13.772671978346141</v>
      </c>
      <c r="O2" s="3">
        <f t="shared" ref="O2:O41" si="2">ABS(SQRT((J2-C2)^2+(L2-E2)^2))</f>
        <v>4.3718971854333439</v>
      </c>
      <c r="P2" s="3">
        <f t="shared" ref="P2:P41" si="3">(N2-O2)</f>
        <v>9.4007747929127969</v>
      </c>
      <c r="Q2" s="5">
        <f t="shared" ref="Q2:Q41" si="4">P2/O2</f>
        <v>2.1502735298156352</v>
      </c>
      <c r="R2" s="3">
        <f t="shared" ref="R2:R41" si="5">ATAN2(J2-C2,L2-E2)*180/PI()</f>
        <v>177.02371934116897</v>
      </c>
      <c r="S2" s="3">
        <f t="shared" ref="S2:S41" si="6">ATAN2(F2-C2,H2-E2)*180/PI()</f>
        <v>179.11256808267783</v>
      </c>
      <c r="T2" s="3">
        <f t="shared" ref="T2:T41" si="7">IF(ABS(R2-S2)&gt;180,360-ABS(R2-S2),ABS(R2-S2))</f>
        <v>2.0888487415088548</v>
      </c>
      <c r="U2" s="3">
        <f>VLOOKUP($A2,'Summary Data (40)'!$C$2:$N$247,11,0)</f>
        <v>0</v>
      </c>
      <c r="V2" s="3">
        <f>VLOOKUP($A2,'Summary Data (40)'!$C$2:$N$247,12,1)</f>
        <v>0</v>
      </c>
      <c r="W2" s="3">
        <f>VLOOKUP($A2,'Summary Data (40)'!$C$2:$N$247,11,1)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(40)'!$C$2:$L$247,3,0)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(40)'!$C$2:$L$247,5,1)</f>
        <v>-1.5125299999999999</v>
      </c>
      <c r="G3" s="3">
        <f>VLOOKUP($A3,'Summary Data (40)'!$C$2:$L$247,6,1)</f>
        <v>1.55</v>
      </c>
      <c r="H3" s="3">
        <f>VLOOKUP($A3,'Summary Data (40)'!$C$2:$L$247,7,1)</f>
        <v>2.4879850000000001</v>
      </c>
      <c r="I3" s="3" t="str">
        <f>VLOOKUP($A3,'Summary Data (40)'!$C$2:$L$247,4,0)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8.4830497464723749</v>
      </c>
      <c r="N3" s="3">
        <f t="shared" si="1"/>
        <v>1.54664379904521</v>
      </c>
      <c r="O3" s="3">
        <f t="shared" si="2"/>
        <v>7.8871175977032326</v>
      </c>
      <c r="P3" s="3">
        <f t="shared" si="3"/>
        <v>-6.3404737986580226</v>
      </c>
      <c r="Q3" s="5">
        <f t="shared" si="4"/>
        <v>-0.8039025309454495</v>
      </c>
      <c r="R3" s="3">
        <f t="shared" si="5"/>
        <v>-63.65586590726528</v>
      </c>
      <c r="S3" s="3">
        <f t="shared" si="6"/>
        <v>-171.2224760429996</v>
      </c>
      <c r="T3" s="3">
        <f t="shared" si="7"/>
        <v>107.56661013573432</v>
      </c>
      <c r="U3" s="3">
        <f>VLOOKUP($A3,'Summary Data (40)'!$C$2:$N$247,11,0)</f>
        <v>0</v>
      </c>
      <c r="V3" s="3">
        <f>VLOOKUP($A3,'Summary Data (40)'!$C$2:$N$247,12,1)</f>
        <v>0</v>
      </c>
      <c r="W3" s="3">
        <f>VLOOKUP($A3,'Summary Data (40)'!$C$2:$N$247,11,1)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(40)'!$C$2:$L$247,3,0)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(40)'!$C$2:$L$247,5,1)</f>
        <v>9.3410630000000001</v>
      </c>
      <c r="G4" s="3">
        <f>VLOOKUP($A4,'Summary Data (40)'!$C$2:$L$247,6,1)</f>
        <v>1.55</v>
      </c>
      <c r="H4" s="3">
        <f>VLOOKUP($A4,'Summary Data (40)'!$C$2:$L$247,7,1)</f>
        <v>-1.2210449999999999</v>
      </c>
      <c r="I4" s="3" t="str">
        <f>VLOOKUP($A4,'Summary Data (40)'!$C$2:$L$247,4,0)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6.6968271139394062</v>
      </c>
      <c r="N4" s="3">
        <f t="shared" si="1"/>
        <v>13.323346836587044</v>
      </c>
      <c r="O4" s="3">
        <f t="shared" si="2"/>
        <v>8.0292617967033557</v>
      </c>
      <c r="P4" s="3">
        <f t="shared" si="3"/>
        <v>5.2940850398836883</v>
      </c>
      <c r="Q4" s="5">
        <f t="shared" si="4"/>
        <v>0.65934891325343592</v>
      </c>
      <c r="R4" s="3">
        <f t="shared" si="5"/>
        <v>23.666151625811782</v>
      </c>
      <c r="S4" s="3">
        <f t="shared" si="6"/>
        <v>0.79540684655382554</v>
      </c>
      <c r="T4" s="3">
        <f t="shared" si="7"/>
        <v>22.870744779257958</v>
      </c>
      <c r="U4" s="3">
        <f>VLOOKUP($A4,'Summary Data (40)'!$C$2:$N$247,11,0)</f>
        <v>0</v>
      </c>
      <c r="V4" s="3">
        <f>VLOOKUP($A4,'Summary Data (40)'!$C$2:$N$247,12,1)</f>
        <v>0</v>
      </c>
      <c r="W4" s="3">
        <f>VLOOKUP($A4,'Summary Data (40)'!$C$2:$N$247,11,1)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(40)'!$C$2:$L$247,3,0)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(40)'!$C$2:$L$247,5,1)</f>
        <v>5.4387020000000001</v>
      </c>
      <c r="G5" s="3">
        <f>VLOOKUP($A5,'Summary Data (40)'!$C$2:$L$247,6,1)</f>
        <v>1.55</v>
      </c>
      <c r="H5" s="3">
        <f>VLOOKUP($A5,'Summary Data (40)'!$C$2:$L$247,7,1)</f>
        <v>7.2467189999999997</v>
      </c>
      <c r="I5" s="3" t="str">
        <f>VLOOKUP($A5,'Summary Data (40)'!$C$2:$L$247,4,0)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10.01191062214226</v>
      </c>
      <c r="N5" s="3">
        <f t="shared" si="1"/>
        <v>12.98775894278012</v>
      </c>
      <c r="O5" s="3">
        <f t="shared" si="2"/>
        <v>8.8659173242253964</v>
      </c>
      <c r="P5" s="3">
        <f t="shared" si="3"/>
        <v>4.1218416185547238</v>
      </c>
      <c r="Q5" s="5">
        <f t="shared" si="4"/>
        <v>0.46490864597757159</v>
      </c>
      <c r="R5" s="3">
        <f t="shared" si="5"/>
        <v>111.35858600069317</v>
      </c>
      <c r="S5" s="3">
        <f t="shared" si="6"/>
        <v>61.039781302932866</v>
      </c>
      <c r="T5" s="3">
        <f t="shared" si="7"/>
        <v>50.318804697760299</v>
      </c>
      <c r="U5" s="3">
        <f>VLOOKUP($A5,'Summary Data (40)'!$C$2:$N$247,11,0)</f>
        <v>0</v>
      </c>
      <c r="V5" s="3">
        <f>VLOOKUP($A5,'Summary Data (40)'!$C$2:$N$247,12,1)</f>
        <v>0</v>
      </c>
      <c r="W5" s="3">
        <f>VLOOKUP($A5,'Summary Data (40)'!$C$2:$N$247,11,1)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(40)'!$C$2:$L$247,3,0)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(40)'!$C$2:$L$247,5,1)</f>
        <v>3.922876</v>
      </c>
      <c r="G6" s="3">
        <f>VLOOKUP($A6,'Summary Data (40)'!$C$2:$L$247,6,1)</f>
        <v>1.55</v>
      </c>
      <c r="H6" s="3">
        <f>VLOOKUP($A6,'Summary Data (40)'!$C$2:$L$247,7,1)</f>
        <v>-0.67115809999999998</v>
      </c>
      <c r="I6" s="3" t="str">
        <f>VLOOKUP($A6,'Summary Data (40)'!$C$2:$L$247,4,0)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5.2122904379935569E-3</v>
      </c>
      <c r="N6" s="3">
        <f t="shared" si="1"/>
        <v>2.5481943304959316</v>
      </c>
      <c r="O6" s="3">
        <f t="shared" si="2"/>
        <v>2.5489458605470614</v>
      </c>
      <c r="P6" s="3">
        <f t="shared" si="3"/>
        <v>-7.5153005112982285E-4</v>
      </c>
      <c r="Q6" s="5">
        <f t="shared" si="4"/>
        <v>-2.9483955024785322E-4</v>
      </c>
      <c r="R6" s="3">
        <f t="shared" si="5"/>
        <v>-77.654050540796021</v>
      </c>
      <c r="S6" s="3">
        <f t="shared" si="6"/>
        <v>-77.538094639088683</v>
      </c>
      <c r="T6" s="3">
        <f t="shared" si="7"/>
        <v>0.11595590170733772</v>
      </c>
      <c r="U6" s="3">
        <f>VLOOKUP($A6,'Summary Data (40)'!$C$2:$N$247,11,0)</f>
        <v>0</v>
      </c>
      <c r="V6" s="3">
        <f>VLOOKUP($A6,'Summary Data (40)'!$C$2:$N$247,12,1)</f>
        <v>0</v>
      </c>
      <c r="W6" s="3">
        <f>VLOOKUP($A6,'Summary Data (40)'!$C$2:$N$247,11,1)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(40)'!$C$2:$L$247,3,0)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(40)'!$C$2:$L$247,5,1)</f>
        <v>-1.8887290000000001</v>
      </c>
      <c r="G7" s="3">
        <f>VLOOKUP($A7,'Summary Data (40)'!$C$2:$L$247,6,1)</f>
        <v>1.55</v>
      </c>
      <c r="H7" s="3">
        <f>VLOOKUP($A7,'Summary Data (40)'!$C$2:$L$247,7,1)</f>
        <v>1.7728999999999999</v>
      </c>
      <c r="I7" s="3" t="str">
        <f>VLOOKUP($A7,'Summary Data (40)'!$C$2:$L$247,4,0)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5.980792585054342</v>
      </c>
      <c r="N7" s="3">
        <f t="shared" si="1"/>
        <v>8.1625707453865903</v>
      </c>
      <c r="O7" s="3">
        <f t="shared" si="2"/>
        <v>4.3718971854333439</v>
      </c>
      <c r="P7" s="3">
        <f t="shared" si="3"/>
        <v>3.7906735599532464</v>
      </c>
      <c r="Q7" s="5">
        <f t="shared" si="4"/>
        <v>0.86705459876397195</v>
      </c>
      <c r="R7" s="3">
        <f t="shared" si="5"/>
        <v>177.02371934116897</v>
      </c>
      <c r="S7" s="3">
        <f t="shared" si="6"/>
        <v>131.4629528915774</v>
      </c>
      <c r="T7" s="3">
        <f t="shared" si="7"/>
        <v>45.560766449591569</v>
      </c>
      <c r="U7" s="3">
        <f>VLOOKUP($A7,'Summary Data (40)'!$C$2:$N$247,11,0)</f>
        <v>0</v>
      </c>
      <c r="V7" s="3">
        <f>VLOOKUP($A7,'Summary Data (40)'!$C$2:$N$247,12,1)</f>
        <v>0</v>
      </c>
      <c r="W7" s="3">
        <f>VLOOKUP($A7,'Summary Data (40)'!$C$2:$N$247,11,1)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(40)'!$C$2:$L$247,3,0)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(40)'!$C$2:$L$247,5,1)</f>
        <v>5.131399</v>
      </c>
      <c r="G8" s="3">
        <f>VLOOKUP($A8,'Summary Data (40)'!$C$2:$L$247,6,1)</f>
        <v>1.55</v>
      </c>
      <c r="H8" s="3">
        <f>VLOOKUP($A8,'Summary Data (40)'!$C$2:$L$247,7,1)</f>
        <v>-4.5465619999999998</v>
      </c>
      <c r="I8" s="3" t="str">
        <f>VLOOKUP($A8,'Summary Data (40)'!$C$2:$L$247,4,0)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9.6384098901761277</v>
      </c>
      <c r="N8" s="3">
        <f t="shared" si="1"/>
        <v>10.339301845726578</v>
      </c>
      <c r="O8" s="3">
        <f t="shared" si="2"/>
        <v>1.5015515309172709</v>
      </c>
      <c r="P8" s="3">
        <f t="shared" si="3"/>
        <v>8.8377503148093073</v>
      </c>
      <c r="Q8" s="5">
        <f t="shared" si="4"/>
        <v>5.8857455990274836</v>
      </c>
      <c r="R8" s="3">
        <f t="shared" si="5"/>
        <v>-85.071579131103505</v>
      </c>
      <c r="S8" s="3">
        <f t="shared" si="6"/>
        <v>-26.643673918543808</v>
      </c>
      <c r="T8" s="3">
        <f t="shared" si="7"/>
        <v>58.427905212559693</v>
      </c>
      <c r="U8" s="3">
        <f>VLOOKUP($A8,'Summary Data (40)'!$C$2:$N$247,11,0)</f>
        <v>0</v>
      </c>
      <c r="V8" s="3">
        <f>VLOOKUP($A8,'Summary Data (40)'!$C$2:$N$247,12,1)</f>
        <v>0</v>
      </c>
      <c r="W8" s="3">
        <f>VLOOKUP($A8,'Summary Data (40)'!$C$2:$N$247,11,1)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(40)'!$C$2:$L$247,3,0)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(40)'!$C$2:$L$247,5,1)</f>
        <v>1.5054000000000001</v>
      </c>
      <c r="G9" s="3">
        <f>VLOOKUP($A9,'Summary Data (40)'!$C$2:$L$247,6,1)</f>
        <v>1.55</v>
      </c>
      <c r="H9" s="3">
        <f>VLOOKUP($A9,'Summary Data (40)'!$C$2:$L$247,7,1)</f>
        <v>1.53799</v>
      </c>
      <c r="I9" s="3" t="str">
        <f>VLOOKUP($A9,'Summary Data (40)'!$C$2:$L$247,4,0)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6.1608424261703032</v>
      </c>
      <c r="N9" s="3">
        <f t="shared" si="1"/>
        <v>6.1259138959097355</v>
      </c>
      <c r="O9" s="3">
        <f t="shared" si="2"/>
        <v>8.8659173242253964</v>
      </c>
      <c r="P9" s="3">
        <f t="shared" si="3"/>
        <v>-2.7400034283156609</v>
      </c>
      <c r="Q9" s="5">
        <f t="shared" si="4"/>
        <v>-0.30904906149179001</v>
      </c>
      <c r="R9" s="3">
        <f t="shared" si="5"/>
        <v>111.35858600069317</v>
      </c>
      <c r="S9" s="3">
        <f t="shared" si="6"/>
        <v>67.387437600212465</v>
      </c>
      <c r="T9" s="3">
        <f t="shared" si="7"/>
        <v>43.971148400480701</v>
      </c>
      <c r="U9" s="3">
        <f>VLOOKUP($A9,'Summary Data (40)'!$C$2:$N$247,11,0)</f>
        <v>0</v>
      </c>
      <c r="V9" s="3">
        <f>VLOOKUP($A9,'Summary Data (40)'!$C$2:$N$247,12,1)</f>
        <v>0</v>
      </c>
      <c r="W9" s="3">
        <f>VLOOKUP($A9,'Summary Data (40)'!$C$2:$N$247,11,1)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(40)'!$C$2:$L$247,3,0)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(40)'!$C$2:$L$247,5,1)</f>
        <v>-4.9301190000000004</v>
      </c>
      <c r="G10" s="3">
        <f>VLOOKUP($A10,'Summary Data (40)'!$C$2:$L$247,6,1)</f>
        <v>1.55</v>
      </c>
      <c r="H10" s="3">
        <f>VLOOKUP($A10,'Summary Data (40)'!$C$2:$L$247,7,1)</f>
        <v>-4.0192709999999998</v>
      </c>
      <c r="I10" s="3" t="str">
        <f>VLOOKUP($A10,'Summary Data (40)'!$C$2:$L$247,4,0)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8.4523591431979508</v>
      </c>
      <c r="N10" s="3">
        <f t="shared" si="1"/>
        <v>8.3627625185462495</v>
      </c>
      <c r="O10" s="3">
        <f t="shared" si="2"/>
        <v>7.8871175977032326</v>
      </c>
      <c r="P10" s="3">
        <f t="shared" si="3"/>
        <v>0.47564492084301691</v>
      </c>
      <c r="Q10" s="5">
        <f t="shared" si="4"/>
        <v>6.030655875874439E-2</v>
      </c>
      <c r="R10" s="3">
        <f t="shared" si="5"/>
        <v>-63.65586590726528</v>
      </c>
      <c r="S10" s="3">
        <f t="shared" si="6"/>
        <v>-126.259658794294</v>
      </c>
      <c r="T10" s="3">
        <f t="shared" si="7"/>
        <v>62.603792887028717</v>
      </c>
      <c r="U10" s="3">
        <f>VLOOKUP($A10,'Summary Data (40)'!$C$2:$N$247,11,0)</f>
        <v>0</v>
      </c>
      <c r="V10" s="3">
        <f>VLOOKUP($A10,'Summary Data (40)'!$C$2:$N$247,12,1)</f>
        <v>0</v>
      </c>
      <c r="W10" s="3">
        <f>VLOOKUP($A10,'Summary Data (40)'!$C$2:$N$247,11,1)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(40)'!$C$2:$L$247,3,0)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(40)'!$C$2:$L$247,5,1)</f>
        <v>3.7206939999999999</v>
      </c>
      <c r="G11" s="3">
        <f>VLOOKUP($A11,'Summary Data (40)'!$C$2:$L$247,6,1)</f>
        <v>1.55</v>
      </c>
      <c r="H11" s="3">
        <f>VLOOKUP($A11,'Summary Data (40)'!$C$2:$L$247,7,1)</f>
        <v>0.26341209999999998</v>
      </c>
      <c r="I11" s="3" t="str">
        <f>VLOOKUP($A11,'Summary Data (40)'!$C$2:$L$247,4,0)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7.8805473940115611</v>
      </c>
      <c r="N11" s="3">
        <f t="shared" si="1"/>
        <v>7.8326138854192484</v>
      </c>
      <c r="O11" s="3">
        <f t="shared" si="2"/>
        <v>1.5015515309172709</v>
      </c>
      <c r="P11" s="3">
        <f t="shared" si="3"/>
        <v>6.3310623545019773</v>
      </c>
      <c r="Q11" s="5">
        <f t="shared" si="4"/>
        <v>4.2163470411398034</v>
      </c>
      <c r="R11" s="3">
        <f t="shared" si="5"/>
        <v>-85.071579131103505</v>
      </c>
      <c r="S11" s="3">
        <f t="shared" si="6"/>
        <v>1.2686177912074472</v>
      </c>
      <c r="T11" s="3">
        <f t="shared" si="7"/>
        <v>86.340196922310952</v>
      </c>
      <c r="U11" s="3">
        <f>VLOOKUP($A11,'Summary Data (40)'!$C$2:$N$247,11,0)</f>
        <v>0</v>
      </c>
      <c r="V11" s="3">
        <f>VLOOKUP($A11,'Summary Data (40)'!$C$2:$N$247,12,1)</f>
        <v>0</v>
      </c>
      <c r="W11" s="3">
        <f>VLOOKUP($A11,'Summary Data (40)'!$C$2:$N$247,11,1)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(40)'!$C$2:$L$247,3,0)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(40)'!$C$2:$L$247,5,1)</f>
        <v>7.292154</v>
      </c>
      <c r="G12" s="3">
        <f>VLOOKUP($A12,'Summary Data (40)'!$C$2:$L$247,6,1)</f>
        <v>1.55</v>
      </c>
      <c r="H12" s="3">
        <f>VLOOKUP($A12,'Summary Data (40)'!$C$2:$L$247,7,1)</f>
        <v>1.6373679999999999</v>
      </c>
      <c r="I12" s="3" t="str">
        <f>VLOOKUP($A12,'Summary Data (40)'!$C$2:$L$247,4,0)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7.3568462084741171</v>
      </c>
      <c r="N12" s="3">
        <f t="shared" si="1"/>
        <v>11.643294646239097</v>
      </c>
      <c r="O12" s="3">
        <f t="shared" si="2"/>
        <v>4.3329067610554466</v>
      </c>
      <c r="P12" s="3">
        <f t="shared" si="3"/>
        <v>7.3103878851836503</v>
      </c>
      <c r="Q12" s="5">
        <f t="shared" si="4"/>
        <v>1.6871786743463004</v>
      </c>
      <c r="R12" s="3">
        <f t="shared" si="5"/>
        <v>-19.074748100261683</v>
      </c>
      <c r="S12" s="3">
        <f t="shared" si="6"/>
        <v>-12.412119366409934</v>
      </c>
      <c r="T12" s="3">
        <f t="shared" si="7"/>
        <v>6.6626287338517489</v>
      </c>
      <c r="U12" s="3">
        <f>VLOOKUP($A12,'Summary Data (40)'!$C$2:$N$247,11,0)</f>
        <v>0</v>
      </c>
      <c r="V12" s="3">
        <f>VLOOKUP($A12,'Summary Data (40)'!$C$2:$N$247,12,1)</f>
        <v>0</v>
      </c>
      <c r="W12" s="3">
        <f>VLOOKUP($A12,'Summary Data (40)'!$C$2:$N$247,11,1)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(40)'!$C$2:$L$247,3,0)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(40)'!$C$2:$L$247,5,1)</f>
        <v>1.862582</v>
      </c>
      <c r="G13" s="3">
        <f>VLOOKUP($A13,'Summary Data (40)'!$C$2:$L$247,6,1)</f>
        <v>1.55</v>
      </c>
      <c r="H13" s="3">
        <f>VLOOKUP($A13,'Summary Data (40)'!$C$2:$L$247,7,1)</f>
        <v>1.5713520000000001</v>
      </c>
      <c r="I13" s="3" t="str">
        <f>VLOOKUP($A13,'Summary Data (40)'!$C$2:$L$247,4,0)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6.3020194844690858</v>
      </c>
      <c r="N13" s="3">
        <f t="shared" si="1"/>
        <v>6.1420827385039356</v>
      </c>
      <c r="O13" s="3">
        <f t="shared" si="2"/>
        <v>4.3718971854333439</v>
      </c>
      <c r="P13" s="3">
        <f t="shared" si="3"/>
        <v>1.7701855530705917</v>
      </c>
      <c r="Q13" s="5">
        <f t="shared" si="4"/>
        <v>0.40490100246836669</v>
      </c>
      <c r="R13" s="3">
        <f t="shared" si="5"/>
        <v>177.02371934116897</v>
      </c>
      <c r="S13" s="3">
        <f t="shared" si="6"/>
        <v>105.61637064617817</v>
      </c>
      <c r="T13" s="3">
        <f t="shared" si="7"/>
        <v>71.407348694990802</v>
      </c>
      <c r="U13" s="3">
        <f>VLOOKUP($A13,'Summary Data (40)'!$C$2:$N$247,11,0)</f>
        <v>0</v>
      </c>
      <c r="V13" s="3">
        <f>VLOOKUP($A13,'Summary Data (40)'!$C$2:$N$247,12,1)</f>
        <v>0</v>
      </c>
      <c r="W13" s="3">
        <f>VLOOKUP($A13,'Summary Data (40)'!$C$2:$N$247,11,1)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(40)'!$C$2:$L$247,3,0)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(40)'!$C$2:$L$247,5,1)</f>
        <v>8.1984510000000004</v>
      </c>
      <c r="G14" s="3">
        <f>VLOOKUP($A14,'Summary Data (40)'!$C$2:$L$247,6,1)</f>
        <v>1.55</v>
      </c>
      <c r="H14" s="3">
        <f>VLOOKUP($A14,'Summary Data (40)'!$C$2:$L$247,7,1)</f>
        <v>-5.669797</v>
      </c>
      <c r="I14" s="3" t="str">
        <f>VLOOKUP($A14,'Summary Data (40)'!$C$2:$L$247,4,0)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8.9071379619162752</v>
      </c>
      <c r="N14" s="3">
        <f t="shared" si="1"/>
        <v>12.904223785978372</v>
      </c>
      <c r="O14" s="3">
        <f t="shared" si="2"/>
        <v>8.0292617967033557</v>
      </c>
      <c r="P14" s="3">
        <f t="shared" si="3"/>
        <v>4.8749619892750164</v>
      </c>
      <c r="Q14" s="5">
        <f t="shared" si="4"/>
        <v>0.60714946313950957</v>
      </c>
      <c r="R14" s="3">
        <f t="shared" si="5"/>
        <v>23.666151625811782</v>
      </c>
      <c r="S14" s="3">
        <f t="shared" si="6"/>
        <v>-19.294191555086019</v>
      </c>
      <c r="T14" s="3">
        <f t="shared" si="7"/>
        <v>42.960343180897802</v>
      </c>
      <c r="U14" s="3">
        <f>VLOOKUP($A14,'Summary Data (40)'!$C$2:$N$247,11,0)</f>
        <v>0</v>
      </c>
      <c r="V14" s="3">
        <f>VLOOKUP($A14,'Summary Data (40)'!$C$2:$N$247,12,1)</f>
        <v>0</v>
      </c>
      <c r="W14" s="3">
        <f>VLOOKUP($A14,'Summary Data (40)'!$C$2:$N$247,11,1)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(40)'!$C$2:$L$247,3,0)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(40)'!$C$2:$L$247,5,1)</f>
        <v>2.6980780000000002</v>
      </c>
      <c r="G15" s="3">
        <f>VLOOKUP($A15,'Summary Data (40)'!$C$2:$L$247,6,1)</f>
        <v>1.55</v>
      </c>
      <c r="H15" s="3">
        <f>VLOOKUP($A15,'Summary Data (40)'!$C$2:$L$247,7,1)</f>
        <v>-4.3085110000000002</v>
      </c>
      <c r="I15" s="3" t="str">
        <f>VLOOKUP($A15,'Summary Data (40)'!$C$2:$L$247,4,0)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7.2824894806106659</v>
      </c>
      <c r="N15" s="3">
        <f t="shared" si="1"/>
        <v>8.1053578003197977</v>
      </c>
      <c r="O15" s="3">
        <f t="shared" si="2"/>
        <v>1.5015515309172709</v>
      </c>
      <c r="P15" s="3">
        <f t="shared" si="3"/>
        <v>6.6038062694025266</v>
      </c>
      <c r="Q15" s="5">
        <f t="shared" si="4"/>
        <v>4.3979884362465933</v>
      </c>
      <c r="R15" s="3">
        <f t="shared" si="5"/>
        <v>-85.071579131103505</v>
      </c>
      <c r="S15" s="3">
        <f t="shared" si="6"/>
        <v>-32.865385028507355</v>
      </c>
      <c r="T15" s="3">
        <f t="shared" si="7"/>
        <v>52.20619410259615</v>
      </c>
      <c r="U15" s="3">
        <f>VLOOKUP($A15,'Summary Data (40)'!$C$2:$N$247,11,0)</f>
        <v>0</v>
      </c>
      <c r="V15" s="3">
        <f>VLOOKUP($A15,'Summary Data (40)'!$C$2:$N$247,12,1)</f>
        <v>0</v>
      </c>
      <c r="W15" s="3">
        <f>VLOOKUP($A15,'Summary Data (40)'!$C$2:$N$247,11,1)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(40)'!$C$2:$L$247,3,0)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(40)'!$C$2:$L$247,5,1)</f>
        <v>-1.409</v>
      </c>
      <c r="G16" s="3">
        <f>VLOOKUP($A16,'Summary Data (40)'!$C$2:$L$247,6,1)</f>
        <v>1.55</v>
      </c>
      <c r="H16" s="3">
        <f>VLOOKUP($A16,'Summary Data (40)'!$C$2:$L$247,7,1)</f>
        <v>-2.4370750000000001</v>
      </c>
      <c r="I16" s="3" t="str">
        <f>VLOOKUP($A16,'Summary Data (40)'!$C$2:$L$247,4,0)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5.354187161056756</v>
      </c>
      <c r="N16" s="3">
        <f t="shared" si="1"/>
        <v>7.0983671048787693</v>
      </c>
      <c r="O16" s="3">
        <f t="shared" si="2"/>
        <v>4.3329067610554466</v>
      </c>
      <c r="P16" s="3">
        <f t="shared" si="3"/>
        <v>2.7654603438233227</v>
      </c>
      <c r="Q16" s="5">
        <f t="shared" si="4"/>
        <v>0.63824598504623442</v>
      </c>
      <c r="R16" s="3">
        <f t="shared" si="5"/>
        <v>-19.074748100261683</v>
      </c>
      <c r="S16" s="3">
        <f t="shared" si="6"/>
        <v>-67.905034721746048</v>
      </c>
      <c r="T16" s="3">
        <f t="shared" si="7"/>
        <v>48.830286621484362</v>
      </c>
      <c r="U16" s="3">
        <f>VLOOKUP($A16,'Summary Data (40)'!$C$2:$N$247,11,0)</f>
        <v>0</v>
      </c>
      <c r="V16" s="3">
        <f>VLOOKUP($A16,'Summary Data (40)'!$C$2:$N$247,12,1)</f>
        <v>0</v>
      </c>
      <c r="W16" s="3">
        <f>VLOOKUP($A16,'Summary Data (40)'!$C$2:$N$247,11,1)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(40)'!$C$2:$L$247,3,0)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(40)'!$C$2:$L$247,5,1)</f>
        <v>4.1803610000000004</v>
      </c>
      <c r="G17" s="3">
        <f>VLOOKUP($A17,'Summary Data (40)'!$C$2:$L$247,6,1)</f>
        <v>1.55</v>
      </c>
      <c r="H17" s="3">
        <f>VLOOKUP($A17,'Summary Data (40)'!$C$2:$L$247,7,1)</f>
        <v>1.1158760000000001</v>
      </c>
      <c r="I17" s="3" t="str">
        <f>VLOOKUP($A17,'Summary Data (40)'!$C$2:$L$247,4,0)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8.3535924653826044</v>
      </c>
      <c r="N17" s="3">
        <f t="shared" si="1"/>
        <v>1.8080128975471941</v>
      </c>
      <c r="O17" s="3">
        <f t="shared" si="2"/>
        <v>8.0641771433916301</v>
      </c>
      <c r="P17" s="3">
        <f t="shared" si="3"/>
        <v>-6.2561642458444364</v>
      </c>
      <c r="Q17" s="5">
        <f t="shared" si="4"/>
        <v>-0.77579697650505974</v>
      </c>
      <c r="R17" s="3">
        <f t="shared" si="5"/>
        <v>174.57078263739461</v>
      </c>
      <c r="S17" s="3">
        <f t="shared" si="6"/>
        <v>81.656342947454704</v>
      </c>
      <c r="T17" s="3">
        <f t="shared" si="7"/>
        <v>92.914439689939911</v>
      </c>
      <c r="U17" s="3">
        <f>VLOOKUP($A17,'Summary Data (40)'!$C$2:$N$247,11,0)</f>
        <v>0</v>
      </c>
      <c r="V17" s="3">
        <f>VLOOKUP($A17,'Summary Data (40)'!$C$2:$N$247,12,1)</f>
        <v>0</v>
      </c>
      <c r="W17" s="3">
        <f>VLOOKUP($A17,'Summary Data (40)'!$C$2:$N$247,11,1)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(40)'!$C$2:$L$247,3,0)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(40)'!$C$2:$L$247,5,1)</f>
        <v>-2.6778360000000001</v>
      </c>
      <c r="G18" s="3">
        <f>VLOOKUP($A18,'Summary Data (40)'!$C$2:$L$247,6,1)</f>
        <v>1.55</v>
      </c>
      <c r="H18" s="3">
        <f>VLOOKUP($A18,'Summary Data (40)'!$C$2:$L$247,7,1)</f>
        <v>-5.8235859999999997</v>
      </c>
      <c r="I18" s="3" t="str">
        <f>VLOOKUP($A18,'Summary Data (40)'!$C$2:$L$247,4,0)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8.3686073323039825</v>
      </c>
      <c r="N18" s="3">
        <f t="shared" si="1"/>
        <v>9.7463414018949699</v>
      </c>
      <c r="O18" s="3">
        <f t="shared" si="2"/>
        <v>2.5489458605470614</v>
      </c>
      <c r="P18" s="3">
        <f t="shared" si="3"/>
        <v>7.1973955413479089</v>
      </c>
      <c r="Q18" s="5">
        <f t="shared" si="4"/>
        <v>2.8236753289860714</v>
      </c>
      <c r="R18" s="3">
        <f t="shared" si="5"/>
        <v>-77.654050540796021</v>
      </c>
      <c r="S18" s="3">
        <f t="shared" si="6"/>
        <v>-128.37688232444415</v>
      </c>
      <c r="T18" s="3">
        <f t="shared" si="7"/>
        <v>50.722831783648132</v>
      </c>
      <c r="U18" s="3">
        <f>VLOOKUP($A18,'Summary Data (40)'!$C$2:$N$247,11,0)</f>
        <v>0</v>
      </c>
      <c r="V18" s="3">
        <f>VLOOKUP($A18,'Summary Data (40)'!$C$2:$N$247,12,1)</f>
        <v>0</v>
      </c>
      <c r="W18" s="3">
        <f>VLOOKUP($A18,'Summary Data (40)'!$C$2:$N$247,11,1)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(40)'!$C$2:$L$247,3,0)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(40)'!$C$2:$L$247,5,1)</f>
        <v>-0.97291919999999998</v>
      </c>
      <c r="G19" s="3">
        <f>VLOOKUP($A19,'Summary Data (40)'!$C$2:$L$247,6,1)</f>
        <v>1.55</v>
      </c>
      <c r="H19" s="3">
        <f>VLOOKUP($A19,'Summary Data (40)'!$C$2:$L$247,7,1)</f>
        <v>-1.6081490000000001</v>
      </c>
      <c r="I19" s="3" t="str">
        <f>VLOOKUP($A19,'Summary Data (40)'!$C$2:$L$247,4,0)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5.5334129942676107</v>
      </c>
      <c r="N19" s="3">
        <f t="shared" si="1"/>
        <v>3.0148655554650592</v>
      </c>
      <c r="O19" s="3">
        <f t="shared" si="2"/>
        <v>8.0292617967033557</v>
      </c>
      <c r="P19" s="3">
        <f t="shared" si="3"/>
        <v>-5.0143962412382965</v>
      </c>
      <c r="Q19" s="5">
        <f t="shared" si="4"/>
        <v>-0.62451522545909521</v>
      </c>
      <c r="R19" s="3">
        <f t="shared" si="5"/>
        <v>23.666151625811782</v>
      </c>
      <c r="S19" s="3">
        <f t="shared" si="6"/>
        <v>-3.8446094980037482</v>
      </c>
      <c r="T19" s="3">
        <f t="shared" si="7"/>
        <v>27.510761123815531</v>
      </c>
      <c r="U19" s="3">
        <f>VLOOKUP($A19,'Summary Data (40)'!$C$2:$N$247,11,0)</f>
        <v>0</v>
      </c>
      <c r="V19" s="3">
        <f>VLOOKUP($A19,'Summary Data (40)'!$C$2:$N$247,12,1)</f>
        <v>0</v>
      </c>
      <c r="W19" s="3">
        <f>VLOOKUP($A19,'Summary Data (40)'!$C$2:$N$247,11,1)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(40)'!$C$2:$L$247,3,0)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(40)'!$C$2:$L$247,5,1)</f>
        <v>-0.15572569999999999</v>
      </c>
      <c r="G20" s="3">
        <f>VLOOKUP($A20,'Summary Data (40)'!$C$2:$L$247,6,1)</f>
        <v>1.55</v>
      </c>
      <c r="H20" s="3">
        <f>VLOOKUP($A20,'Summary Data (40)'!$C$2:$L$247,7,1)</f>
        <v>2.053636</v>
      </c>
      <c r="I20" s="3" t="str">
        <f>VLOOKUP($A20,'Summary Data (40)'!$C$2:$L$247,4,0)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7.3764026465843431</v>
      </c>
      <c r="N20" s="3">
        <f t="shared" si="1"/>
        <v>0.69200983268772287</v>
      </c>
      <c r="O20" s="3">
        <f t="shared" si="2"/>
        <v>7.8871175977032326</v>
      </c>
      <c r="P20" s="3">
        <f t="shared" si="3"/>
        <v>-7.1951077650155097</v>
      </c>
      <c r="Q20" s="5">
        <f t="shared" si="4"/>
        <v>-0.91226074366011234</v>
      </c>
      <c r="R20" s="3">
        <f t="shared" si="5"/>
        <v>-63.65586590726528</v>
      </c>
      <c r="S20" s="3">
        <f t="shared" si="6"/>
        <v>-104.36836140665628</v>
      </c>
      <c r="T20" s="3">
        <f t="shared" si="7"/>
        <v>40.712495499390997</v>
      </c>
      <c r="U20" s="3">
        <f>VLOOKUP($A20,'Summary Data (40)'!$C$2:$N$247,11,0)</f>
        <v>0</v>
      </c>
      <c r="V20" s="3">
        <f>VLOOKUP($A20,'Summary Data (40)'!$C$2:$N$247,12,1)</f>
        <v>0</v>
      </c>
      <c r="W20" s="3">
        <f>VLOOKUP($A20,'Summary Data (40)'!$C$2:$N$247,11,1)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(40)'!$C$2:$L$247,3,0)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(40)'!$C$2:$L$247,5,1)</f>
        <v>-4.7478819999999997</v>
      </c>
      <c r="G21" s="3">
        <f>VLOOKUP($A21,'Summary Data (40)'!$C$2:$L$247,6,1)</f>
        <v>1.55</v>
      </c>
      <c r="H21" s="3">
        <f>VLOOKUP($A21,'Summary Data (40)'!$C$2:$L$247,7,1)</f>
        <v>1.2381960000000001</v>
      </c>
      <c r="I21" s="3" t="str">
        <f>VLOOKUP($A21,'Summary Data (40)'!$C$2:$L$247,4,0)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8.8741298721812711</v>
      </c>
      <c r="N21" s="3">
        <f t="shared" si="1"/>
        <v>8.1414825755718478</v>
      </c>
      <c r="O21" s="3">
        <f t="shared" si="2"/>
        <v>2.5489458605470614</v>
      </c>
      <c r="P21" s="3">
        <f t="shared" si="3"/>
        <v>5.5925367150247869</v>
      </c>
      <c r="Q21" s="5">
        <f t="shared" si="4"/>
        <v>2.1940586505138646</v>
      </c>
      <c r="R21" s="3">
        <f t="shared" si="5"/>
        <v>-77.654050540796021</v>
      </c>
      <c r="S21" s="3">
        <f t="shared" si="6"/>
        <v>-175.92322093089103</v>
      </c>
      <c r="T21" s="3">
        <f t="shared" si="7"/>
        <v>98.269170390095013</v>
      </c>
      <c r="U21" s="3">
        <f>VLOOKUP($A21,'Summary Data (40)'!$C$2:$N$247,11,0)</f>
        <v>0</v>
      </c>
      <c r="V21" s="3">
        <f>VLOOKUP($A21,'Summary Data (40)'!$C$2:$N$247,12,1)</f>
        <v>0</v>
      </c>
      <c r="W21" s="3">
        <f>VLOOKUP($A21,'Summary Data (40)'!$C$2:$N$247,11,1)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(40)'!$C$2:$L$247,3,0)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(40)'!$C$2:$L$247,5,1)</f>
        <v>-0.88002970000000003</v>
      </c>
      <c r="G22" s="3">
        <f>VLOOKUP($A22,'Summary Data (40)'!$C$2:$L$247,6,1)</f>
        <v>1.55</v>
      </c>
      <c r="H22" s="3">
        <f>VLOOKUP($A22,'Summary Data (40)'!$C$2:$L$247,7,1)</f>
        <v>-7.2957419999999997</v>
      </c>
      <c r="I22" s="3" t="str">
        <f>VLOOKUP($A22,'Summary Data (40)'!$C$2:$L$247,4,0)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6.6562059484398537</v>
      </c>
      <c r="N22" s="3">
        <f t="shared" si="1"/>
        <v>8.0611347234397517</v>
      </c>
      <c r="O22" s="3">
        <f t="shared" si="2"/>
        <v>1.5015515309172709</v>
      </c>
      <c r="P22" s="3">
        <f t="shared" si="3"/>
        <v>6.5595831925224806</v>
      </c>
      <c r="Q22" s="5">
        <f t="shared" si="4"/>
        <v>4.3685368483593425</v>
      </c>
      <c r="R22" s="3">
        <f t="shared" si="5"/>
        <v>-85.071579131103505</v>
      </c>
      <c r="S22" s="3">
        <f t="shared" si="6"/>
        <v>-66.379034287520227</v>
      </c>
      <c r="T22" s="3">
        <f t="shared" si="7"/>
        <v>18.692544843583278</v>
      </c>
      <c r="U22" s="3">
        <f>VLOOKUP($A22,'Summary Data (40)'!$C$2:$N$247,11,0)</f>
        <v>0</v>
      </c>
      <c r="V22" s="3">
        <f>VLOOKUP($A22,'Summary Data (40)'!$C$2:$N$247,12,1)</f>
        <v>0</v>
      </c>
      <c r="W22" s="3">
        <f>VLOOKUP($A22,'Summary Data (40)'!$C$2:$N$247,11,1)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(40)'!$C$2:$L$247,3,0)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(40)'!$C$2:$L$247,5,1)</f>
        <v>-7.1429</v>
      </c>
      <c r="G23" s="3">
        <f>VLOOKUP($A23,'Summary Data (40)'!$C$2:$L$247,6,1)</f>
        <v>1.55</v>
      </c>
      <c r="H23" s="3">
        <f>VLOOKUP($A23,'Summary Data (40)'!$C$2:$L$247,7,1)</f>
        <v>1.14317</v>
      </c>
      <c r="I23" s="3" t="str">
        <f>VLOOKUP($A23,'Summary Data (40)'!$C$2:$L$247,4,0)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8.2018277742769019</v>
      </c>
      <c r="N23" s="3">
        <f t="shared" si="1"/>
        <v>11.988377030228069</v>
      </c>
      <c r="O23" s="3">
        <f t="shared" si="2"/>
        <v>4.3718971854333439</v>
      </c>
      <c r="P23" s="3">
        <f t="shared" si="3"/>
        <v>7.6164798447947248</v>
      </c>
      <c r="Q23" s="5">
        <f t="shared" si="4"/>
        <v>1.7421452339208605</v>
      </c>
      <c r="R23" s="3">
        <f t="shared" si="5"/>
        <v>177.02371934116897</v>
      </c>
      <c r="S23" s="3">
        <f t="shared" si="6"/>
        <v>152.7607251076455</v>
      </c>
      <c r="T23" s="3">
        <f t="shared" si="7"/>
        <v>24.262994233523472</v>
      </c>
      <c r="U23" s="3">
        <f>VLOOKUP($A23,'Summary Data (40)'!$C$2:$N$247,11,0)</f>
        <v>0</v>
      </c>
      <c r="V23" s="3">
        <f>VLOOKUP($A23,'Summary Data (40)'!$C$2:$N$247,12,1)</f>
        <v>0</v>
      </c>
      <c r="W23" s="3">
        <f>VLOOKUP($A23,'Summary Data (40)'!$C$2:$N$247,11,1)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(40)'!$C$2:$L$247,3,0)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(40)'!$C$2:$L$247,5,1)</f>
        <v>-10.62086</v>
      </c>
      <c r="G24" s="3">
        <f>VLOOKUP($A24,'Summary Data (40)'!$C$2:$L$247,6,1)</f>
        <v>1.55</v>
      </c>
      <c r="H24" s="3">
        <f>VLOOKUP($A24,'Summary Data (40)'!$C$2:$L$247,7,1)</f>
        <v>-5.1873740000000002</v>
      </c>
      <c r="I24" s="3" t="str">
        <f>VLOOKUP($A24,'Summary Data (40)'!$C$2:$L$247,4,0)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11.392797636905344</v>
      </c>
      <c r="N24" s="3">
        <f t="shared" si="1"/>
        <v>9.8293135894362429</v>
      </c>
      <c r="O24" s="3">
        <f t="shared" si="2"/>
        <v>8.8659173242253964</v>
      </c>
      <c r="P24" s="3">
        <f t="shared" si="3"/>
        <v>0.96339626521084654</v>
      </c>
      <c r="Q24" s="5">
        <f t="shared" si="4"/>
        <v>0.10866289747350168</v>
      </c>
      <c r="R24" s="3">
        <f t="shared" si="5"/>
        <v>111.35858600069317</v>
      </c>
      <c r="S24" s="3">
        <f t="shared" si="6"/>
        <v>-173.74831501250023</v>
      </c>
      <c r="T24" s="3">
        <f t="shared" si="7"/>
        <v>74.893098986806592</v>
      </c>
      <c r="U24" s="3">
        <f>VLOOKUP($A24,'Summary Data (40)'!$C$2:$N$247,11,0)</f>
        <v>0</v>
      </c>
      <c r="V24" s="3">
        <f>VLOOKUP($A24,'Summary Data (40)'!$C$2:$N$247,12,1)</f>
        <v>0</v>
      </c>
      <c r="W24" s="3">
        <f>VLOOKUP($A24,'Summary Data (40)'!$C$2:$N$247,11,1)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(40)'!$C$2:$L$247,3,0)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(40)'!$C$2:$L$247,5,1)</f>
        <v>-8.6948340000000002</v>
      </c>
      <c r="G25" s="3">
        <f>VLOOKUP($A25,'Summary Data (40)'!$C$2:$L$247,6,1)</f>
        <v>1.55</v>
      </c>
      <c r="H25" s="3">
        <f>VLOOKUP($A25,'Summary Data (40)'!$C$2:$L$247,7,1)</f>
        <v>2.5067949999999999</v>
      </c>
      <c r="I25" s="3" t="str">
        <f>VLOOKUP($A25,'Summary Data (40)'!$C$2:$L$247,4,0)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5.182817851283315</v>
      </c>
      <c r="N25" s="3">
        <f t="shared" si="1"/>
        <v>13.007485450831034</v>
      </c>
      <c r="O25" s="3">
        <f t="shared" si="2"/>
        <v>8.0641771433916301</v>
      </c>
      <c r="P25" s="3">
        <f t="shared" si="3"/>
        <v>4.9433083074394037</v>
      </c>
      <c r="Q25" s="5">
        <f t="shared" si="4"/>
        <v>0.61299599693073559</v>
      </c>
      <c r="R25" s="3">
        <f t="shared" si="5"/>
        <v>174.57078263739461</v>
      </c>
      <c r="S25" s="3">
        <f t="shared" si="6"/>
        <v>165.85014399270554</v>
      </c>
      <c r="T25" s="3">
        <f t="shared" si="7"/>
        <v>8.7206386446890747</v>
      </c>
      <c r="U25" s="3">
        <f>VLOOKUP($A25,'Summary Data (40)'!$C$2:$N$247,11,0)</f>
        <v>0</v>
      </c>
      <c r="V25" s="3">
        <f>VLOOKUP($A25,'Summary Data (40)'!$C$2:$N$247,12,1)</f>
        <v>0</v>
      </c>
      <c r="W25" s="3">
        <f>VLOOKUP($A25,'Summary Data (40)'!$C$2:$N$247,11,1)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(40)'!$C$2:$L$247,3,0)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(40)'!$C$2:$L$247,5,1)</f>
        <v>5.2697130000000003</v>
      </c>
      <c r="G26" s="3">
        <f>VLOOKUP($A26,'Summary Data (40)'!$C$2:$L$247,6,1)</f>
        <v>1.55</v>
      </c>
      <c r="H26" s="3">
        <f>VLOOKUP($A26,'Summary Data (40)'!$C$2:$L$247,7,1)</f>
        <v>-4.771388</v>
      </c>
      <c r="I26" s="3" t="str">
        <f>VLOOKUP($A26,'Summary Data (40)'!$C$2:$L$247,4,0)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9.1532694463187845</v>
      </c>
      <c r="N26" s="3">
        <f t="shared" si="1"/>
        <v>12.915543768766105</v>
      </c>
      <c r="O26" s="3">
        <f t="shared" si="2"/>
        <v>4.3329067610554466</v>
      </c>
      <c r="P26" s="3">
        <f t="shared" si="3"/>
        <v>8.5826370077106588</v>
      </c>
      <c r="Q26" s="5">
        <f t="shared" si="4"/>
        <v>1.9808035300579665</v>
      </c>
      <c r="R26" s="3">
        <f t="shared" si="5"/>
        <v>-19.074748100261683</v>
      </c>
      <c r="S26" s="3">
        <f t="shared" si="6"/>
        <v>-43.628042220316516</v>
      </c>
      <c r="T26" s="3">
        <f t="shared" si="7"/>
        <v>24.553294120054833</v>
      </c>
      <c r="U26" s="3">
        <f>VLOOKUP($A26,'Summary Data (40)'!$C$2:$N$247,11,0)</f>
        <v>0</v>
      </c>
      <c r="V26" s="3">
        <f>VLOOKUP($A26,'Summary Data (40)'!$C$2:$N$247,12,1)</f>
        <v>0</v>
      </c>
      <c r="W26" s="3">
        <f>VLOOKUP($A26,'Summary Data (40)'!$C$2:$N$247,11,1)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(40)'!$C$2:$L$247,3,0)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(40)'!$C$2:$L$247,5,1)</f>
        <v>2.8929179999999999</v>
      </c>
      <c r="G27" s="3">
        <f>VLOOKUP($A27,'Summary Data (40)'!$C$2:$L$247,6,1)</f>
        <v>1.55</v>
      </c>
      <c r="H27" s="3">
        <f>VLOOKUP($A27,'Summary Data (40)'!$C$2:$L$247,7,1)</f>
        <v>6.2480390000000003</v>
      </c>
      <c r="I27" s="3" t="str">
        <f>VLOOKUP($A27,'Summary Data (40)'!$C$2:$L$247,4,0)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7.2836439385959144</v>
      </c>
      <c r="N27" s="3">
        <f t="shared" si="1"/>
        <v>11.020139228986402</v>
      </c>
      <c r="O27" s="3">
        <f t="shared" si="2"/>
        <v>8.8659173242253964</v>
      </c>
      <c r="P27" s="3">
        <f t="shared" si="3"/>
        <v>2.1542219047610054</v>
      </c>
      <c r="Q27" s="5">
        <f t="shared" si="4"/>
        <v>0.24297789230165384</v>
      </c>
      <c r="R27" s="3">
        <f t="shared" si="5"/>
        <v>111.35858600069317</v>
      </c>
      <c r="S27" s="3">
        <f t="shared" si="6"/>
        <v>70.144847979669152</v>
      </c>
      <c r="T27" s="3">
        <f t="shared" si="7"/>
        <v>41.213738021024014</v>
      </c>
      <c r="U27" s="3">
        <f>VLOOKUP($A27,'Summary Data (40)'!$C$2:$N$247,11,0)</f>
        <v>0</v>
      </c>
      <c r="V27" s="3">
        <f>VLOOKUP($A27,'Summary Data (40)'!$C$2:$N$247,12,1)</f>
        <v>0</v>
      </c>
      <c r="W27" s="3">
        <f>VLOOKUP($A27,'Summary Data (40)'!$C$2:$N$247,11,1)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(40)'!$C$2:$L$247,3,0)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(40)'!$C$2:$L$247,5,1)</f>
        <v>-5.5723710000000004</v>
      </c>
      <c r="G28" s="3">
        <f>VLOOKUP($A28,'Summary Data (40)'!$C$2:$L$247,6,1)</f>
        <v>1.55</v>
      </c>
      <c r="H28" s="3">
        <f>VLOOKUP($A28,'Summary Data (40)'!$C$2:$L$247,7,1)</f>
        <v>-1.1987840000000001</v>
      </c>
      <c r="I28" s="3" t="str">
        <f>VLOOKUP($A28,'Summary Data (40)'!$C$2:$L$247,4,0)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9.5049245411153578</v>
      </c>
      <c r="N28" s="3">
        <f t="shared" si="1"/>
        <v>9.4400537849260697</v>
      </c>
      <c r="O28" s="3">
        <f t="shared" si="2"/>
        <v>2.5489458605470614</v>
      </c>
      <c r="P28" s="3">
        <f t="shared" si="3"/>
        <v>6.8911079243790088</v>
      </c>
      <c r="Q28" s="5">
        <f t="shared" si="4"/>
        <v>2.7035128642944271</v>
      </c>
      <c r="R28" s="3">
        <f t="shared" si="5"/>
        <v>-77.654050540796021</v>
      </c>
      <c r="S28" s="3">
        <f t="shared" si="6"/>
        <v>-161.36931627420557</v>
      </c>
      <c r="T28" s="3">
        <f t="shared" si="7"/>
        <v>83.715265733409552</v>
      </c>
      <c r="U28" s="3">
        <f>VLOOKUP($A28,'Summary Data (40)'!$C$2:$N$247,11,0)</f>
        <v>0</v>
      </c>
      <c r="V28" s="3">
        <f>VLOOKUP($A28,'Summary Data (40)'!$C$2:$N$247,12,1)</f>
        <v>0</v>
      </c>
      <c r="W28" s="3">
        <f>VLOOKUP($A28,'Summary Data (40)'!$C$2:$N$247,11,1)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(40)'!$C$2:$L$247,3,0)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(40)'!$C$2:$L$247,5,1)</f>
        <v>7.7716320000000003</v>
      </c>
      <c r="G29" s="3">
        <f>VLOOKUP($A29,'Summary Data (40)'!$C$2:$L$247,6,1)</f>
        <v>1.55</v>
      </c>
      <c r="H29" s="3">
        <f>VLOOKUP($A29,'Summary Data (40)'!$C$2:$L$247,7,1)</f>
        <v>-4.3204440000000002</v>
      </c>
      <c r="I29" s="3" t="str">
        <f>VLOOKUP($A29,'Summary Data (40)'!$C$2:$L$247,4,0)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10.477309720942682</v>
      </c>
      <c r="N29" s="3">
        <f t="shared" si="1"/>
        <v>14.560789521058259</v>
      </c>
      <c r="O29" s="3">
        <f t="shared" si="2"/>
        <v>4.3329067610554466</v>
      </c>
      <c r="P29" s="3">
        <f t="shared" si="3"/>
        <v>10.227882760002814</v>
      </c>
      <c r="Q29" s="5">
        <f t="shared" si="4"/>
        <v>2.3605130052490257</v>
      </c>
      <c r="R29" s="3">
        <f t="shared" si="5"/>
        <v>-19.074748100261683</v>
      </c>
      <c r="S29" s="3">
        <f t="shared" si="6"/>
        <v>-35.523931193966469</v>
      </c>
      <c r="T29" s="3">
        <f t="shared" si="7"/>
        <v>16.449183093704786</v>
      </c>
      <c r="U29" s="3">
        <f>VLOOKUP($A29,'Summary Data (40)'!$C$2:$N$247,11,0)</f>
        <v>0</v>
      </c>
      <c r="V29" s="3">
        <f>VLOOKUP($A29,'Summary Data (40)'!$C$2:$N$247,12,1)</f>
        <v>0</v>
      </c>
      <c r="W29" s="3">
        <f>VLOOKUP($A29,'Summary Data (40)'!$C$2:$N$247,11,1)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(40)'!$C$2:$L$247,3,0)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(40)'!$C$2:$L$247,5,1)</f>
        <v>4.686337</v>
      </c>
      <c r="G30" s="3">
        <f>VLOOKUP($A30,'Summary Data (40)'!$C$2:$L$247,6,1)</f>
        <v>1.55</v>
      </c>
      <c r="H30" s="3">
        <f>VLOOKUP($A30,'Summary Data (40)'!$C$2:$L$247,7,1)</f>
        <v>3.065048</v>
      </c>
      <c r="I30" s="3" t="str">
        <f>VLOOKUP($A30,'Summary Data (40)'!$C$2:$L$247,4,0)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9.0682325098043766</v>
      </c>
      <c r="N30" s="3">
        <f t="shared" si="1"/>
        <v>7.5009120085408956</v>
      </c>
      <c r="O30" s="3">
        <f t="shared" si="2"/>
        <v>4.3718971854333439</v>
      </c>
      <c r="P30" s="3">
        <f t="shared" si="3"/>
        <v>3.1290148231075516</v>
      </c>
      <c r="Q30" s="5">
        <f t="shared" si="4"/>
        <v>0.71571098092907293</v>
      </c>
      <c r="R30" s="3">
        <f t="shared" si="5"/>
        <v>177.02371934116897</v>
      </c>
      <c r="S30" s="3">
        <f t="shared" si="6"/>
        <v>81.023696570060267</v>
      </c>
      <c r="T30" s="3">
        <f t="shared" si="7"/>
        <v>96.000022771108704</v>
      </c>
      <c r="U30" s="3">
        <f>VLOOKUP($A30,'Summary Data (40)'!$C$2:$N$247,11,0)</f>
        <v>0</v>
      </c>
      <c r="V30" s="3">
        <f>VLOOKUP($A30,'Summary Data (40)'!$C$2:$N$247,12,1)</f>
        <v>0</v>
      </c>
      <c r="W30" s="3">
        <f>VLOOKUP($A30,'Summary Data (40)'!$C$2:$N$247,11,1)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(40)'!$C$2:$L$247,3,0)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(40)'!$C$2:$L$247,5,1)</f>
        <v>-7.1830030000000002</v>
      </c>
      <c r="G31" s="3">
        <f>VLOOKUP($A31,'Summary Data (40)'!$C$2:$L$247,6,1)</f>
        <v>1.55</v>
      </c>
      <c r="H31" s="3">
        <f>VLOOKUP($A31,'Summary Data (40)'!$C$2:$L$247,7,1)</f>
        <v>-7.1186420000000004</v>
      </c>
      <c r="I31" s="3" t="str">
        <f>VLOOKUP($A31,'Summary Data (40)'!$C$2:$L$247,4,0)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6.5488244618536706</v>
      </c>
      <c r="N31" s="3">
        <f t="shared" si="1"/>
        <v>7.8363171785075796</v>
      </c>
      <c r="O31" s="3">
        <f t="shared" si="2"/>
        <v>1.5015515309172709</v>
      </c>
      <c r="P31" s="3">
        <f t="shared" si="3"/>
        <v>6.3347656475903085</v>
      </c>
      <c r="Q31" s="5">
        <f t="shared" si="4"/>
        <v>4.2188133521601578</v>
      </c>
      <c r="R31" s="3">
        <f t="shared" si="5"/>
        <v>-85.071579131103505</v>
      </c>
      <c r="S31" s="3">
        <f t="shared" si="6"/>
        <v>-113.08827519467212</v>
      </c>
      <c r="T31" s="3">
        <f t="shared" si="7"/>
        <v>28.016696063568617</v>
      </c>
      <c r="U31" s="3">
        <f>VLOOKUP($A31,'Summary Data (40)'!$C$2:$N$247,11,0)</f>
        <v>0</v>
      </c>
      <c r="V31" s="3">
        <f>VLOOKUP($A31,'Summary Data (40)'!$C$2:$N$247,12,1)</f>
        <v>0</v>
      </c>
      <c r="W31" s="3">
        <f>VLOOKUP($A31,'Summary Data (40)'!$C$2:$N$247,11,1)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(40)'!$C$2:$L$247,3,0)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(40)'!$C$2:$L$247,5,1)</f>
        <v>4.7784240000000002</v>
      </c>
      <c r="G32" s="3">
        <f>VLOOKUP($A32,'Summary Data (40)'!$C$2:$L$247,6,1)</f>
        <v>1.55</v>
      </c>
      <c r="H32" s="3">
        <f>VLOOKUP($A32,'Summary Data (40)'!$C$2:$L$247,7,1)</f>
        <v>8.8396889999999999</v>
      </c>
      <c r="I32" s="3" t="str">
        <f>VLOOKUP($A32,'Summary Data (40)'!$C$2:$L$247,4,0)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12.472415114984628</v>
      </c>
      <c r="N32" s="3">
        <f t="shared" si="1"/>
        <v>9.5515224687217799</v>
      </c>
      <c r="O32" s="3">
        <f t="shared" si="2"/>
        <v>8.0641771433916301</v>
      </c>
      <c r="P32" s="3">
        <f t="shared" si="3"/>
        <v>1.4873453253301498</v>
      </c>
      <c r="Q32" s="5">
        <f t="shared" si="4"/>
        <v>0.18443857307239192</v>
      </c>
      <c r="R32" s="3">
        <f t="shared" si="5"/>
        <v>174.57078263739461</v>
      </c>
      <c r="S32" s="3">
        <f t="shared" si="6"/>
        <v>84.831652888879489</v>
      </c>
      <c r="T32" s="3">
        <f t="shared" si="7"/>
        <v>89.739129748515126</v>
      </c>
      <c r="U32" s="3">
        <f>VLOOKUP($A32,'Summary Data (40)'!$C$2:$N$247,11,0)</f>
        <v>0</v>
      </c>
      <c r="V32" s="3">
        <f>VLOOKUP($A32,'Summary Data (40)'!$C$2:$N$247,12,1)</f>
        <v>0</v>
      </c>
      <c r="W32" s="3">
        <f>VLOOKUP($A32,'Summary Data (40)'!$C$2:$N$247,11,1)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(40)'!$C$2:$L$247,3,0)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(40)'!$C$2:$L$247,5,1)</f>
        <v>-3.4771800000000002</v>
      </c>
      <c r="G33" s="3">
        <f>VLOOKUP($A33,'Summary Data (40)'!$C$2:$L$247,6,1)</f>
        <v>1.55</v>
      </c>
      <c r="H33" s="3">
        <f>VLOOKUP($A33,'Summary Data (40)'!$C$2:$L$247,7,1)</f>
        <v>4.2236180000000001</v>
      </c>
      <c r="I33" s="3" t="str">
        <f>VLOOKUP($A33,'Summary Data (40)'!$C$2:$L$247,4,0)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11.059323881066328</v>
      </c>
      <c r="N33" s="3">
        <f t="shared" si="1"/>
        <v>3.8014682240318676</v>
      </c>
      <c r="O33" s="3">
        <f t="shared" si="2"/>
        <v>7.8871175977032326</v>
      </c>
      <c r="P33" s="3">
        <f t="shared" si="3"/>
        <v>-4.085649373671365</v>
      </c>
      <c r="Q33" s="5">
        <f t="shared" si="4"/>
        <v>-0.5180155263389411</v>
      </c>
      <c r="R33" s="3">
        <f t="shared" si="5"/>
        <v>-63.65586590726528</v>
      </c>
      <c r="S33" s="3">
        <f t="shared" si="6"/>
        <v>156.76621005995963</v>
      </c>
      <c r="T33" s="3">
        <f t="shared" si="7"/>
        <v>139.57792403277509</v>
      </c>
      <c r="U33" s="3">
        <f>VLOOKUP($A33,'Summary Data (40)'!$C$2:$N$247,11,0)</f>
        <v>0</v>
      </c>
      <c r="V33" s="3">
        <f>VLOOKUP($A33,'Summary Data (40)'!$C$2:$N$247,12,1)</f>
        <v>0</v>
      </c>
      <c r="W33" s="3">
        <f>VLOOKUP($A33,'Summary Data (40)'!$C$2:$N$247,11,1)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(40)'!$C$2:$L$247,3,0)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(40)'!$C$2:$L$247,5,1)</f>
        <v>-0.20520830000000001</v>
      </c>
      <c r="G34" s="3">
        <f>VLOOKUP($A34,'Summary Data (40)'!$C$2:$L$247,6,1)</f>
        <v>1.55</v>
      </c>
      <c r="H34" s="3">
        <f>VLOOKUP($A34,'Summary Data (40)'!$C$2:$L$247,7,1)</f>
        <v>-5.2224700000000004</v>
      </c>
      <c r="I34" s="3" t="str">
        <f>VLOOKUP($A34,'Summary Data (40)'!$C$2:$L$247,4,0)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7.8966899723294759</v>
      </c>
      <c r="N34" s="3">
        <f t="shared" si="1"/>
        <v>5.3686167885861344</v>
      </c>
      <c r="O34" s="3">
        <f t="shared" si="2"/>
        <v>8.0292617967033557</v>
      </c>
      <c r="P34" s="3">
        <f t="shared" si="3"/>
        <v>-2.6606450081172213</v>
      </c>
      <c r="Q34" s="5">
        <f t="shared" si="4"/>
        <v>-0.33136857104467882</v>
      </c>
      <c r="R34" s="3">
        <f t="shared" si="5"/>
        <v>23.666151625811782</v>
      </c>
      <c r="S34" s="3">
        <f t="shared" si="6"/>
        <v>-45.306980014396196</v>
      </c>
      <c r="T34" s="3">
        <f t="shared" si="7"/>
        <v>68.973131640207981</v>
      </c>
      <c r="U34" s="3">
        <f>VLOOKUP($A34,'Summary Data (40)'!$C$2:$N$247,11,0)</f>
        <v>0</v>
      </c>
      <c r="V34" s="3">
        <f>VLOOKUP($A34,'Summary Data (40)'!$C$2:$N$247,12,1)</f>
        <v>0</v>
      </c>
      <c r="W34" s="3">
        <f>VLOOKUP($A34,'Summary Data (40)'!$C$2:$N$247,11,1)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(40)'!$C$2:$L$247,3,0)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(40)'!$C$2:$L$247,5,1)</f>
        <v>-3.795642</v>
      </c>
      <c r="G35" s="3">
        <f>VLOOKUP($A35,'Summary Data (40)'!$C$2:$L$247,6,1)</f>
        <v>1.55</v>
      </c>
      <c r="H35" s="3">
        <f>VLOOKUP($A35,'Summary Data (40)'!$C$2:$L$247,7,1)</f>
        <v>7.6091819999999997</v>
      </c>
      <c r="I35" s="3" t="str">
        <f>VLOOKUP($A35,'Summary Data (40)'!$C$2:$L$247,4,0)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7.5257503879206622</v>
      </c>
      <c r="N35" s="3">
        <f t="shared" si="1"/>
        <v>11.317897843031098</v>
      </c>
      <c r="O35" s="3">
        <f t="shared" si="2"/>
        <v>8.0641771433916301</v>
      </c>
      <c r="P35" s="3">
        <f t="shared" si="3"/>
        <v>3.2537206996394676</v>
      </c>
      <c r="Q35" s="5">
        <f t="shared" si="4"/>
        <v>0.40347832665181488</v>
      </c>
      <c r="R35" s="3">
        <f t="shared" si="5"/>
        <v>174.57078263739461</v>
      </c>
      <c r="S35" s="3">
        <f t="shared" si="6"/>
        <v>132.96439148799169</v>
      </c>
      <c r="T35" s="3">
        <f t="shared" si="7"/>
        <v>41.606391149402924</v>
      </c>
      <c r="U35" s="3">
        <f>VLOOKUP($A35,'Summary Data (40)'!$C$2:$N$247,11,0)</f>
        <v>0</v>
      </c>
      <c r="V35" s="3">
        <f>VLOOKUP($A35,'Summary Data (40)'!$C$2:$N$247,12,1)</f>
        <v>0</v>
      </c>
      <c r="W35" s="3">
        <f>VLOOKUP($A35,'Summary Data (40)'!$C$2:$N$247,11,1)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(40)'!$C$2:$L$247,3,0)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(40)'!$C$2:$L$247,5,1)</f>
        <v>-9.220542</v>
      </c>
      <c r="G36" s="3">
        <f>VLOOKUP($A36,'Summary Data (40)'!$C$2:$L$247,6,1)</f>
        <v>1.55</v>
      </c>
      <c r="H36" s="3">
        <f>VLOOKUP($A36,'Summary Data (40)'!$C$2:$L$247,7,1)</f>
        <v>3.911451</v>
      </c>
      <c r="I36" s="3" t="str">
        <f>VLOOKUP($A36,'Summary Data (40)'!$C$2:$L$247,4,0)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13.91540430088774</v>
      </c>
      <c r="N36" s="3">
        <f t="shared" si="1"/>
        <v>12.766519693995109</v>
      </c>
      <c r="O36" s="3">
        <f t="shared" si="2"/>
        <v>2.5489458605470614</v>
      </c>
      <c r="P36" s="3">
        <f t="shared" si="3"/>
        <v>10.217573833448048</v>
      </c>
      <c r="Q36" s="5">
        <f t="shared" si="4"/>
        <v>4.0085487854399249</v>
      </c>
      <c r="R36" s="3">
        <f t="shared" si="5"/>
        <v>-77.654050540796021</v>
      </c>
      <c r="S36" s="3">
        <f t="shared" si="6"/>
        <v>170.55747787642929</v>
      </c>
      <c r="T36" s="3">
        <f t="shared" si="7"/>
        <v>111.78847158277469</v>
      </c>
      <c r="U36" s="3">
        <f>VLOOKUP($A36,'Summary Data (40)'!$C$2:$N$247,11,0)</f>
        <v>0</v>
      </c>
      <c r="V36" s="3">
        <f>VLOOKUP($A36,'Summary Data (40)'!$C$2:$N$247,12,1)</f>
        <v>0</v>
      </c>
      <c r="W36" s="3">
        <f>VLOOKUP($A36,'Summary Data (40)'!$C$2:$N$247,11,1)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(40)'!$C$2:$L$247,3,0)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(40)'!$C$2:$L$247,5,1)</f>
        <v>6.3780419999999998</v>
      </c>
      <c r="G37" s="3">
        <f>VLOOKUP($A37,'Summary Data (40)'!$C$2:$L$247,6,1)</f>
        <v>1.55</v>
      </c>
      <c r="H37" s="3">
        <f>VLOOKUP($A37,'Summary Data (40)'!$C$2:$L$247,7,1)</f>
        <v>-6.9899519999999997</v>
      </c>
      <c r="I37" s="3" t="str">
        <f>VLOOKUP($A37,'Summary Data (40)'!$C$2:$L$247,4,0)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11.611909484148935</v>
      </c>
      <c r="N37" s="3">
        <f t="shared" si="1"/>
        <v>15.271724163042887</v>
      </c>
      <c r="O37" s="3">
        <f t="shared" si="2"/>
        <v>4.3329067610554466</v>
      </c>
      <c r="P37" s="3">
        <f t="shared" si="3"/>
        <v>10.938817401987439</v>
      </c>
      <c r="Q37" s="5">
        <f t="shared" si="4"/>
        <v>2.5245909975046099</v>
      </c>
      <c r="R37" s="3">
        <f t="shared" si="5"/>
        <v>-19.074748100261683</v>
      </c>
      <c r="S37" s="3">
        <f t="shared" si="6"/>
        <v>-46.785446478042566</v>
      </c>
      <c r="T37" s="3">
        <f t="shared" si="7"/>
        <v>27.710698377780883</v>
      </c>
      <c r="U37" s="3">
        <f>VLOOKUP($A37,'Summary Data (40)'!$C$2:$N$247,11,0)</f>
        <v>0</v>
      </c>
      <c r="V37" s="3">
        <f>VLOOKUP($A37,'Summary Data (40)'!$C$2:$N$247,12,1)</f>
        <v>0</v>
      </c>
      <c r="W37" s="3">
        <f>VLOOKUP($A37,'Summary Data (40)'!$C$2:$N$247,11,1)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(40)'!$C$2:$L$247,3,0)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(40)'!$C$2:$L$247,5,1)</f>
        <v>2.8212809999999999</v>
      </c>
      <c r="G38" s="3">
        <f>VLOOKUP($A38,'Summary Data (40)'!$C$2:$L$247,6,1)</f>
        <v>1.55</v>
      </c>
      <c r="H38" s="3">
        <f>VLOOKUP($A38,'Summary Data (40)'!$C$2:$L$247,7,1)</f>
        <v>17.272449999999999</v>
      </c>
      <c r="I38" s="3" t="str">
        <f>VLOOKUP($A38,'Summary Data (40)'!$C$2:$L$247,4,0)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15.465294324954213</v>
      </c>
      <c r="N38" s="3">
        <f t="shared" si="1"/>
        <v>19.87851908984824</v>
      </c>
      <c r="O38" s="3">
        <f t="shared" si="2"/>
        <v>8.0292617967033557</v>
      </c>
      <c r="P38" s="3">
        <f t="shared" si="3"/>
        <v>11.849257293144884</v>
      </c>
      <c r="Q38" s="5">
        <f t="shared" si="4"/>
        <v>1.475759240782252</v>
      </c>
      <c r="R38" s="3">
        <f t="shared" si="5"/>
        <v>23.666151625811782</v>
      </c>
      <c r="S38" s="3">
        <f t="shared" si="6"/>
        <v>69.989487936893966</v>
      </c>
      <c r="T38" s="3">
        <f t="shared" si="7"/>
        <v>46.323336311082187</v>
      </c>
      <c r="U38" s="3">
        <f>VLOOKUP($A38,'Summary Data (40)'!$C$2:$N$247,11,0)</f>
        <v>0</v>
      </c>
      <c r="V38" s="3">
        <f>VLOOKUP($A38,'Summary Data (40)'!$C$2:$N$247,12,1)</f>
        <v>0</v>
      </c>
      <c r="W38" s="3">
        <f>VLOOKUP($A38,'Summary Data (40)'!$C$2:$N$247,11,1)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(40)'!$C$2:$L$247,3,0)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(40)'!$C$2:$L$247,5,1)</f>
        <v>-2.8874900000000001</v>
      </c>
      <c r="G39" s="3">
        <f>VLOOKUP($A39,'Summary Data (40)'!$C$2:$L$247,6,1)</f>
        <v>1.55</v>
      </c>
      <c r="H39" s="3">
        <f>VLOOKUP($A39,'Summary Data (40)'!$C$2:$L$247,7,1)</f>
        <v>10.937609999999999</v>
      </c>
      <c r="I39" s="3" t="str">
        <f>VLOOKUP($A39,'Summary Data (40)'!$C$2:$L$247,4,0)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10.91628020033381</v>
      </c>
      <c r="N39" s="3">
        <f t="shared" si="1"/>
        <v>13.458118691414487</v>
      </c>
      <c r="O39" s="3">
        <f t="shared" si="2"/>
        <v>8.0641771433916301</v>
      </c>
      <c r="P39" s="3">
        <f t="shared" si="3"/>
        <v>5.3939415480228572</v>
      </c>
      <c r="Q39" s="5">
        <f t="shared" si="4"/>
        <v>0.66887686767186694</v>
      </c>
      <c r="R39" s="3">
        <f t="shared" si="5"/>
        <v>174.57078263739461</v>
      </c>
      <c r="S39" s="3">
        <f t="shared" si="6"/>
        <v>120.37644613524073</v>
      </c>
      <c r="T39" s="3">
        <f t="shared" si="7"/>
        <v>54.194336502153888</v>
      </c>
      <c r="U39" s="3">
        <f>VLOOKUP($A39,'Summary Data (40)'!$C$2:$N$247,11,0)</f>
        <v>0</v>
      </c>
      <c r="V39" s="3">
        <f>VLOOKUP($A39,'Summary Data (40)'!$C$2:$N$247,12,1)</f>
        <v>0</v>
      </c>
      <c r="W39" s="3">
        <f>VLOOKUP($A39,'Summary Data (40)'!$C$2:$N$247,11,1)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(40)'!$C$2:$L$247,3,0)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(40)'!$C$2:$L$247,5,1)</f>
        <v>-1.7667360000000001</v>
      </c>
      <c r="G40" s="3">
        <f>VLOOKUP($A40,'Summary Data (40)'!$C$2:$L$247,6,1)</f>
        <v>1.55</v>
      </c>
      <c r="H40" s="3">
        <f>VLOOKUP($A40,'Summary Data (40)'!$C$2:$L$247,7,1)</f>
        <v>9.1629719999999999</v>
      </c>
      <c r="I40" s="3" t="str">
        <f>VLOOKUP($A40,'Summary Data (40)'!$C$2:$L$247,4,0)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14.503295910050241</v>
      </c>
      <c r="N40" s="3">
        <f t="shared" si="1"/>
        <v>6.6812055845094305</v>
      </c>
      <c r="O40" s="3">
        <f t="shared" si="2"/>
        <v>7.8871175977032326</v>
      </c>
      <c r="P40" s="3">
        <f t="shared" si="3"/>
        <v>-1.2059120131938021</v>
      </c>
      <c r="Q40" s="5">
        <f t="shared" si="4"/>
        <v>-0.15289641599168874</v>
      </c>
      <c r="R40" s="3">
        <f t="shared" si="5"/>
        <v>-63.65586590726528</v>
      </c>
      <c r="S40" s="3">
        <f t="shared" si="6"/>
        <v>105.47563035028379</v>
      </c>
      <c r="T40" s="3">
        <f t="shared" si="7"/>
        <v>169.13149625754909</v>
      </c>
      <c r="U40" s="3">
        <f>VLOOKUP($A40,'Summary Data (40)'!$C$2:$N$247,11,0)</f>
        <v>0</v>
      </c>
      <c r="V40" s="3">
        <f>VLOOKUP($A40,'Summary Data (40)'!$C$2:$N$247,12,1)</f>
        <v>0</v>
      </c>
      <c r="W40" s="3">
        <f>VLOOKUP($A40,'Summary Data (40)'!$C$2:$N$247,11,1)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(40)'!$C$2:$L$247,3,0)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(40)'!$C$2:$L$247,5,1)</f>
        <v>-11.27351</v>
      </c>
      <c r="G41" s="3">
        <f>VLOOKUP($A41,'Summary Data (40)'!$C$2:$L$247,6,1)</f>
        <v>1.55</v>
      </c>
      <c r="H41" s="3">
        <f>VLOOKUP($A41,'Summary Data (40)'!$C$2:$L$247,7,1)</f>
        <v>-5.6691640000000003</v>
      </c>
      <c r="I41" s="3" t="str">
        <f>VLOOKUP($A41,'Summary Data (40)'!$C$2:$L$247,4,0)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12.164730680084784</v>
      </c>
      <c r="N41" s="3">
        <f t="shared" si="1"/>
        <v>10.538442664976454</v>
      </c>
      <c r="O41" s="3">
        <f t="shared" si="2"/>
        <v>8.8659173242253964</v>
      </c>
      <c r="P41" s="3">
        <f t="shared" si="3"/>
        <v>1.6725253407510579</v>
      </c>
      <c r="Q41" s="5">
        <f t="shared" si="4"/>
        <v>0.18864662048911945</v>
      </c>
      <c r="R41" s="3">
        <f t="shared" si="5"/>
        <v>111.35858600069317</v>
      </c>
      <c r="S41" s="3">
        <f t="shared" si="6"/>
        <v>-171.53032697699035</v>
      </c>
      <c r="T41" s="3">
        <f t="shared" si="7"/>
        <v>77.111087022316497</v>
      </c>
      <c r="U41" s="3">
        <f>VLOOKUP($A41,'Summary Data (40)'!$C$2:$N$247,11,0)</f>
        <v>0</v>
      </c>
      <c r="V41" s="3">
        <f>VLOOKUP($A41,'Summary Data (40)'!$C$2:$N$247,12,1)</f>
        <v>0</v>
      </c>
      <c r="W41" s="3">
        <f>VLOOKUP($A41,'Summary Data (40)'!$C$2:$N$247,11,1)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1.2784523637446312</v>
      </c>
      <c r="T42" s="3">
        <f>AVERAGE(T2:T41)</f>
        <v>56.368368827117045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2017-09-13T21:26:01Z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