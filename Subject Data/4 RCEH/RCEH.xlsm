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4 RCEH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C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13" i="3" l="1"/>
  <c r="N13" i="3" s="1"/>
  <c r="J18" i="3"/>
  <c r="M18" i="3" s="1"/>
  <c r="D4" i="3"/>
  <c r="D13" i="3"/>
  <c r="C12" i="3"/>
  <c r="E35" i="3"/>
  <c r="S35" i="3" s="1"/>
  <c r="D36" i="3"/>
  <c r="L40" i="3"/>
  <c r="C4" i="3"/>
  <c r="N4" i="3" s="1"/>
  <c r="D3" i="3"/>
  <c r="L7" i="3"/>
  <c r="L9" i="3"/>
  <c r="M9" i="3" s="1"/>
  <c r="E12" i="3"/>
  <c r="N12" i="3" s="1"/>
  <c r="C22" i="3"/>
  <c r="C28" i="3"/>
  <c r="J29" i="3"/>
  <c r="M29" i="3" s="1"/>
  <c r="J5" i="3"/>
  <c r="M5" i="3" s="1"/>
  <c r="E22" i="3"/>
  <c r="L25" i="3"/>
  <c r="E28" i="3"/>
  <c r="S28" i="3" s="1"/>
  <c r="K29" i="3"/>
  <c r="D35" i="3"/>
  <c r="C36" i="3"/>
  <c r="S36" i="3" s="1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E15" i="3"/>
  <c r="L16" i="3"/>
  <c r="L20" i="3"/>
  <c r="J25" i="3"/>
  <c r="M25" i="3" s="1"/>
  <c r="C32" i="3"/>
  <c r="E33" i="3"/>
  <c r="J36" i="3"/>
  <c r="M36" i="3" s="1"/>
  <c r="J40" i="3"/>
  <c r="D16" i="3"/>
  <c r="K21" i="3"/>
  <c r="J27" i="3"/>
  <c r="J7" i="3"/>
  <c r="J9" i="3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M6" i="3" s="1"/>
  <c r="E8" i="3"/>
  <c r="S8" i="3" s="1"/>
  <c r="L12" i="3"/>
  <c r="E16" i="3"/>
  <c r="S16" i="3" s="1"/>
  <c r="C17" i="3"/>
  <c r="L17" i="3"/>
  <c r="M17" i="3" s="1"/>
  <c r="C20" i="3"/>
  <c r="S20" i="3" s="1"/>
  <c r="L21" i="3"/>
  <c r="J23" i="3"/>
  <c r="C24" i="3"/>
  <c r="S24" i="3" s="1"/>
  <c r="C26" i="3"/>
  <c r="D27" i="3"/>
  <c r="K28" i="3"/>
  <c r="C30" i="3"/>
  <c r="D31" i="3"/>
  <c r="S32" i="3"/>
  <c r="K32" i="3"/>
  <c r="J33" i="3"/>
  <c r="M33" i="3" s="1"/>
  <c r="D40" i="3"/>
  <c r="J41" i="3"/>
  <c r="M41" i="3" s="1"/>
  <c r="K6" i="3"/>
  <c r="S12" i="3"/>
  <c r="D17" i="3"/>
  <c r="D20" i="3"/>
  <c r="L23" i="3"/>
  <c r="D24" i="3"/>
  <c r="E26" i="3"/>
  <c r="E30" i="3"/>
  <c r="K33" i="3"/>
  <c r="K41" i="3"/>
  <c r="K5" i="3"/>
  <c r="J10" i="3"/>
  <c r="M10" i="3" s="1"/>
  <c r="E11" i="3"/>
  <c r="O13" i="3"/>
  <c r="K18" i="3"/>
  <c r="L27" i="3"/>
  <c r="L31" i="3"/>
  <c r="J37" i="3"/>
  <c r="M37" i="3" s="1"/>
  <c r="Z5" i="3"/>
  <c r="X5" i="3"/>
  <c r="Z2" i="3"/>
  <c r="X2" i="3"/>
  <c r="X3" i="3"/>
  <c r="Z3" i="3"/>
  <c r="Y3" i="3"/>
  <c r="Y5" i="3"/>
  <c r="X4" i="3"/>
  <c r="Z4" i="3"/>
  <c r="X6" i="3"/>
  <c r="Z6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D7" i="3"/>
  <c r="O9" i="3"/>
  <c r="C10" i="3"/>
  <c r="E10" i="3"/>
  <c r="D10" i="3"/>
  <c r="W13" i="3"/>
  <c r="V18" i="3"/>
  <c r="Y18" i="3" s="1"/>
  <c r="S22" i="3"/>
  <c r="L2" i="3"/>
  <c r="M2" i="3" s="1"/>
  <c r="E5" i="3"/>
  <c r="N5" i="3" s="1"/>
  <c r="E6" i="3"/>
  <c r="E7" i="3"/>
  <c r="N7" i="3" s="1"/>
  <c r="J11" i="3"/>
  <c r="L11" i="3"/>
  <c r="K11" i="3"/>
  <c r="C14" i="3"/>
  <c r="E14" i="3"/>
  <c r="D14" i="3"/>
  <c r="W17" i="3"/>
  <c r="U7" i="3"/>
  <c r="K8" i="3"/>
  <c r="J8" i="3"/>
  <c r="V10" i="3"/>
  <c r="Y10" i="3" s="1"/>
  <c r="M14" i="3"/>
  <c r="J15" i="3"/>
  <c r="L15" i="3"/>
  <c r="K15" i="3"/>
  <c r="C18" i="3"/>
  <c r="E18" i="3"/>
  <c r="D18" i="3"/>
  <c r="M21" i="3"/>
  <c r="W22" i="3"/>
  <c r="V7" i="3"/>
  <c r="L8" i="3"/>
  <c r="W9" i="3"/>
  <c r="V14" i="3"/>
  <c r="Y14" i="3" s="1"/>
  <c r="J19" i="3"/>
  <c r="L19" i="3"/>
  <c r="K19" i="3"/>
  <c r="L22" i="3"/>
  <c r="J22" i="3"/>
  <c r="K22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D29" i="3"/>
  <c r="K30" i="3"/>
  <c r="N35" i="3"/>
  <c r="N39" i="3"/>
  <c r="J24" i="3"/>
  <c r="C27" i="3"/>
  <c r="J28" i="3"/>
  <c r="E29" i="3"/>
  <c r="S29" i="3" s="1"/>
  <c r="L30" i="3"/>
  <c r="M30" i="3" s="1"/>
  <c r="C31" i="3"/>
  <c r="N31" i="3" s="1"/>
  <c r="J32" i="3"/>
  <c r="C33" i="3"/>
  <c r="D34" i="3"/>
  <c r="C34" i="3"/>
  <c r="N34" i="3" s="1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J34" i="3"/>
  <c r="K35" i="3"/>
  <c r="J35" i="3"/>
  <c r="N36" i="3"/>
  <c r="R36" i="3"/>
  <c r="J38" i="3"/>
  <c r="K39" i="3"/>
  <c r="J39" i="3"/>
  <c r="O33" i="3" l="1"/>
  <c r="N20" i="3"/>
  <c r="N22" i="3"/>
  <c r="S34" i="3"/>
  <c r="P13" i="3"/>
  <c r="Q13" i="3" s="1"/>
  <c r="N16" i="3"/>
  <c r="N3" i="3"/>
  <c r="M40" i="3"/>
  <c r="O10" i="3"/>
  <c r="S4" i="3"/>
  <c r="R4" i="3"/>
  <c r="S18" i="3"/>
  <c r="S40" i="3"/>
  <c r="N28" i="3"/>
  <c r="O5" i="3"/>
  <c r="M27" i="3"/>
  <c r="N30" i="3"/>
  <c r="S9" i="3"/>
  <c r="M7" i="3"/>
  <c r="T36" i="3"/>
  <c r="N32" i="3"/>
  <c r="M23" i="3"/>
  <c r="O1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P4" i="3" s="1"/>
  <c r="Q4" i="3" s="1"/>
  <c r="N15" i="3"/>
  <c r="N8" i="3"/>
  <c r="P9" i="3"/>
  <c r="Q9" i="3" s="1"/>
  <c r="O7" i="3"/>
  <c r="P7" i="3" s="1"/>
  <c r="Q7" i="3" s="1"/>
  <c r="N14" i="3"/>
  <c r="S38" i="3"/>
  <c r="O18" i="3"/>
  <c r="R9" i="3"/>
  <c r="S6" i="3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M34" i="3"/>
  <c r="R24" i="3"/>
  <c r="T24" i="3" s="1"/>
  <c r="M24" i="3"/>
  <c r="O24" i="3"/>
  <c r="S41" i="3"/>
  <c r="P22" i="3"/>
  <c r="Q22" i="3" s="1"/>
  <c r="R41" i="3"/>
  <c r="O29" i="3"/>
  <c r="R26" i="3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R31" i="3"/>
  <c r="R27" i="3"/>
  <c r="T27" i="3" s="1"/>
  <c r="R37" i="3"/>
  <c r="O30" i="3"/>
  <c r="N41" i="3"/>
  <c r="M20" i="3"/>
  <c r="O20" i="3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O6" i="3"/>
  <c r="P6" i="3" s="1"/>
  <c r="Q6" i="3" s="1"/>
  <c r="R2" i="3"/>
  <c r="R14" i="3"/>
  <c r="O35" i="3"/>
  <c r="P35" i="3" s="1"/>
  <c r="Q35" i="3" s="1"/>
  <c r="R35" i="3"/>
  <c r="T35" i="3" s="1"/>
  <c r="M35" i="3"/>
  <c r="S37" i="3"/>
  <c r="N27" i="3"/>
  <c r="N37" i="3"/>
  <c r="P37" i="3" s="1"/>
  <c r="Q37" i="3" s="1"/>
  <c r="R33" i="3"/>
  <c r="T33" i="3" s="1"/>
  <c r="X9" i="3"/>
  <c r="Z9" i="3"/>
  <c r="O14" i="3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20" i="3" l="1"/>
  <c r="Q20" i="3" s="1"/>
  <c r="T5" i="3"/>
  <c r="T4" i="3"/>
  <c r="T31" i="3"/>
  <c r="T30" i="3"/>
  <c r="P14" i="3"/>
  <c r="Q14" i="3" s="1"/>
  <c r="P30" i="3"/>
  <c r="Q30" i="3" s="1"/>
  <c r="P27" i="3"/>
  <c r="Q27" i="3" s="1"/>
  <c r="P18" i="3"/>
  <c r="Q18" i="3" s="1"/>
  <c r="P25" i="3"/>
  <c r="Q25" i="3" s="1"/>
  <c r="T34" i="3"/>
  <c r="T11" i="3"/>
  <c r="T7" i="3"/>
  <c r="P32" i="3"/>
  <c r="Q32" i="3" s="1"/>
  <c r="T6" i="3"/>
  <c r="P15" i="3"/>
  <c r="Q15" i="3" s="1"/>
  <c r="T23" i="3"/>
  <c r="T26" i="3"/>
  <c r="T9" i="3"/>
  <c r="T10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<sst xmlns="http://schemas.openxmlformats.org/spreadsheetml/2006/main" count="394" uniqueCount="37">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</sst>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J15" sqref="J15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42958.45380787037</v>
      </c>
      <c r="B2">
        <v>49.681069999999998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1.7739279999999999</v>
      </c>
      <c r="I2">
        <v>-4.117</v>
      </c>
      <c r="J2">
        <v>358.6798</v>
      </c>
      <c r="K2">
        <v>344.17079999999999</v>
      </c>
      <c r="L2">
        <v>359.26670000000001</v>
      </c>
    </row>
    <row r="3" spans="1:12" x14ac:dyDescent="0.2">
      <c r="A3" s="1">
        <v>42958.453958333332</v>
      </c>
      <c r="B3">
        <v>63.475149999999999</v>
      </c>
      <c r="C3">
        <v>0</v>
      </c>
      <c r="D3" t="s">
        <v>35</v>
      </c>
      <c r="E3" t="s">
        <v>0</v>
      </c>
      <c r="F3" t="s">
        <v>1</v>
      </c>
      <c r="G3">
        <v>-0.85485789999999995</v>
      </c>
      <c r="H3">
        <v>1.769131</v>
      </c>
      <c r="I3">
        <v>-4.1498679999999997</v>
      </c>
      <c r="J3">
        <v>0.99299380000000004</v>
      </c>
      <c r="K3">
        <v>353.56459999999998</v>
      </c>
      <c r="L3">
        <v>357.51569999999998</v>
      </c>
    </row>
    <row r="4" spans="1:12" x14ac:dyDescent="0.2">
      <c r="A4" s="1">
        <v>42958.454942129632</v>
      </c>
      <c r="B4">
        <v>147.8244</v>
      </c>
      <c r="C4">
        <v>0</v>
      </c>
      <c r="D4" t="s">
        <v>36</v>
      </c>
      <c r="E4" t="s">
        <v>0</v>
      </c>
      <c r="F4" t="s">
        <v>1</v>
      </c>
      <c r="G4">
        <v>6.3191940000000004</v>
      </c>
      <c r="H4">
        <v>1.775299</v>
      </c>
      <c r="I4">
        <v>1.072875</v>
      </c>
      <c r="J4">
        <v>2.0572349999999999</v>
      </c>
      <c r="K4">
        <v>266.45350000000002</v>
      </c>
      <c r="L4">
        <v>356.43880000000001</v>
      </c>
    </row>
    <row r="5" spans="1:12" x14ac:dyDescent="0.2">
      <c r="A5" s="1">
        <v>42958.455011574071</v>
      </c>
      <c r="B5">
        <v>154.0138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1.7775920000000001</v>
      </c>
      <c r="I5">
        <v>-4.3440000000000003</v>
      </c>
      <c r="J5">
        <v>359.6388</v>
      </c>
      <c r="K5">
        <v>269.3415</v>
      </c>
      <c r="L5">
        <v>354.6463</v>
      </c>
    </row>
    <row r="6" spans="1:12" x14ac:dyDescent="0.2">
      <c r="A6" s="1">
        <v>42958.455185185187</v>
      </c>
      <c r="B6">
        <v>169.44589999999999</v>
      </c>
      <c r="C6">
        <v>1</v>
      </c>
      <c r="D6" t="s">
        <v>35</v>
      </c>
      <c r="E6" t="s">
        <v>2</v>
      </c>
      <c r="F6" t="s">
        <v>0</v>
      </c>
      <c r="G6">
        <v>3.4960110000000002</v>
      </c>
      <c r="H6">
        <v>1.778446</v>
      </c>
      <c r="I6">
        <v>-4.309361</v>
      </c>
      <c r="J6">
        <v>357.34949999999998</v>
      </c>
      <c r="K6">
        <v>259.94369999999998</v>
      </c>
      <c r="L6">
        <v>358.04880000000003</v>
      </c>
    </row>
    <row r="7" spans="1:12" x14ac:dyDescent="0.2">
      <c r="A7" s="1">
        <v>42958.455775462964</v>
      </c>
      <c r="B7">
        <v>220.43090000000001</v>
      </c>
      <c r="C7">
        <v>1</v>
      </c>
      <c r="D7" t="s">
        <v>36</v>
      </c>
      <c r="E7" t="s">
        <v>2</v>
      </c>
      <c r="F7" t="s">
        <v>0</v>
      </c>
      <c r="G7">
        <v>-5.9482160000000004</v>
      </c>
      <c r="H7">
        <v>1.779998</v>
      </c>
      <c r="I7">
        <v>-10.83084</v>
      </c>
      <c r="J7">
        <v>0.1070082</v>
      </c>
      <c r="K7">
        <v>209.97790000000001</v>
      </c>
      <c r="L7">
        <v>354.78219999999999</v>
      </c>
    </row>
    <row r="8" spans="1:12" x14ac:dyDescent="0.2">
      <c r="A8" s="1">
        <v>42958.45584490741</v>
      </c>
      <c r="B8">
        <v>225.7431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1.7798689999999999</v>
      </c>
      <c r="I8">
        <v>1.8169999999999999</v>
      </c>
      <c r="J8">
        <v>358.04480000000001</v>
      </c>
      <c r="K8">
        <v>211.29300000000001</v>
      </c>
      <c r="L8">
        <v>356.85599999999999</v>
      </c>
    </row>
    <row r="9" spans="1:12" x14ac:dyDescent="0.2">
      <c r="A9" s="1">
        <v>42958.455972222226</v>
      </c>
      <c r="B9">
        <v>237.24600000000001</v>
      </c>
      <c r="C9">
        <v>2</v>
      </c>
      <c r="D9" t="s">
        <v>35</v>
      </c>
      <c r="E9" t="s">
        <v>3</v>
      </c>
      <c r="F9" t="s">
        <v>4</v>
      </c>
      <c r="G9">
        <v>3.4053870000000002</v>
      </c>
      <c r="H9">
        <v>1.7821929999999999</v>
      </c>
      <c r="I9">
        <v>1.8214570000000001</v>
      </c>
      <c r="J9">
        <v>354.63580000000002</v>
      </c>
      <c r="K9">
        <v>195.9408</v>
      </c>
      <c r="L9">
        <v>356.65980000000002</v>
      </c>
    </row>
    <row r="10" spans="1:12" x14ac:dyDescent="0.2">
      <c r="A10" s="1">
        <v>42958.457048611112</v>
      </c>
      <c r="B10">
        <v>329.69409999999999</v>
      </c>
      <c r="C10">
        <v>2</v>
      </c>
      <c r="D10" t="s">
        <v>36</v>
      </c>
      <c r="E10" t="s">
        <v>3</v>
      </c>
      <c r="F10" t="s">
        <v>4</v>
      </c>
      <c r="G10">
        <v>-3.360144</v>
      </c>
      <c r="H10">
        <v>1.7773429999999999</v>
      </c>
      <c r="I10">
        <v>-7.30924</v>
      </c>
      <c r="J10">
        <v>1.6435759999999999</v>
      </c>
      <c r="K10">
        <v>317.00229999999999</v>
      </c>
      <c r="L10">
        <v>355.07600000000002</v>
      </c>
    </row>
    <row r="11" spans="1:12" x14ac:dyDescent="0.2">
      <c r="A11" s="1">
        <v>42958.457083333335</v>
      </c>
      <c r="B11">
        <v>332.6284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1.7751490000000001</v>
      </c>
      <c r="I11">
        <v>4.1399999999999997</v>
      </c>
      <c r="J11">
        <v>0.64554979999999995</v>
      </c>
      <c r="K11">
        <v>315.55430000000001</v>
      </c>
      <c r="L11">
        <v>354.42290000000003</v>
      </c>
    </row>
    <row r="12" spans="1:12" x14ac:dyDescent="0.2">
      <c r="A12" s="1">
        <v>42958.457187499997</v>
      </c>
      <c r="B12">
        <v>342.22570000000002</v>
      </c>
      <c r="C12">
        <v>3</v>
      </c>
      <c r="D12" t="s">
        <v>35</v>
      </c>
      <c r="E12" t="s">
        <v>1</v>
      </c>
      <c r="F12" t="s">
        <v>5</v>
      </c>
      <c r="G12">
        <v>-4.1065209999999999</v>
      </c>
      <c r="H12">
        <v>1.7827759999999999</v>
      </c>
      <c r="I12">
        <v>4.3356830000000004</v>
      </c>
      <c r="J12">
        <v>353.92959999999999</v>
      </c>
      <c r="K12">
        <v>221.85290000000001</v>
      </c>
      <c r="L12">
        <v>356.608</v>
      </c>
    </row>
    <row r="13" spans="1:12" x14ac:dyDescent="0.2">
      <c r="A13" s="1">
        <v>42958.457719907405</v>
      </c>
      <c r="B13">
        <v>387.7167</v>
      </c>
      <c r="C13">
        <v>3</v>
      </c>
      <c r="D13" t="s">
        <v>36</v>
      </c>
      <c r="E13" t="s">
        <v>1</v>
      </c>
      <c r="F13" t="s">
        <v>5</v>
      </c>
      <c r="G13">
        <v>7.9999260000000003</v>
      </c>
      <c r="H13">
        <v>1.7887459999999999</v>
      </c>
      <c r="I13">
        <v>12.865790000000001</v>
      </c>
      <c r="J13">
        <v>359.661</v>
      </c>
      <c r="K13">
        <v>107.1819</v>
      </c>
      <c r="L13">
        <v>355.86169999999998</v>
      </c>
    </row>
    <row r="14" spans="1:12" x14ac:dyDescent="0.2">
      <c r="A14" s="1">
        <v>42958.457731481481</v>
      </c>
      <c r="B14">
        <v>389.06630000000001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1.781563</v>
      </c>
      <c r="I14">
        <v>-0.67300000000000004</v>
      </c>
      <c r="J14">
        <v>359.32389999999998</v>
      </c>
      <c r="K14">
        <v>107.3745</v>
      </c>
      <c r="L14">
        <v>355.52229999999997</v>
      </c>
    </row>
    <row r="15" spans="1:12" x14ac:dyDescent="0.2">
      <c r="A15" s="1">
        <v>42958.457812499997</v>
      </c>
      <c r="B15">
        <v>396.4538</v>
      </c>
      <c r="C15">
        <v>4</v>
      </c>
      <c r="D15" t="s">
        <v>35</v>
      </c>
      <c r="E15" t="s">
        <v>4</v>
      </c>
      <c r="F15" t="s">
        <v>6</v>
      </c>
      <c r="G15">
        <v>3.8495840000000001</v>
      </c>
      <c r="H15">
        <v>1.774292</v>
      </c>
      <c r="I15">
        <v>-0.76738689999999998</v>
      </c>
      <c r="J15">
        <v>359.32389999999998</v>
      </c>
      <c r="K15">
        <v>17.924299999999999</v>
      </c>
      <c r="L15">
        <v>353.80770000000001</v>
      </c>
    </row>
    <row r="16" spans="1:12" x14ac:dyDescent="0.2">
      <c r="A16" s="1">
        <v>42958.458368055559</v>
      </c>
      <c r="B16">
        <v>443.63569999999999</v>
      </c>
      <c r="C16">
        <v>4</v>
      </c>
      <c r="D16" t="s">
        <v>36</v>
      </c>
      <c r="E16" t="s">
        <v>4</v>
      </c>
      <c r="F16" t="s">
        <v>6</v>
      </c>
      <c r="G16">
        <v>-4.5418469999999997</v>
      </c>
      <c r="H16">
        <v>1.792891</v>
      </c>
      <c r="I16">
        <v>10.104810000000001</v>
      </c>
      <c r="J16">
        <v>356.61450000000002</v>
      </c>
      <c r="K16">
        <v>176.11799999999999</v>
      </c>
      <c r="L16">
        <v>357.68680000000001</v>
      </c>
    </row>
    <row r="17" spans="1:12" x14ac:dyDescent="0.2">
      <c r="A17" s="1">
        <v>42958.458379629628</v>
      </c>
      <c r="B17">
        <v>445.40660000000003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1.792284</v>
      </c>
      <c r="I17">
        <v>-4.117</v>
      </c>
      <c r="J17">
        <v>356.88679999999999</v>
      </c>
      <c r="K17">
        <v>176.8168</v>
      </c>
      <c r="L17">
        <v>356.5247</v>
      </c>
    </row>
    <row r="18" spans="1:12" x14ac:dyDescent="0.2">
      <c r="A18" s="1">
        <v>42958.458483796298</v>
      </c>
      <c r="B18">
        <v>453.96</v>
      </c>
      <c r="C18">
        <v>5</v>
      </c>
      <c r="D18" t="s">
        <v>35</v>
      </c>
      <c r="E18" t="s">
        <v>0</v>
      </c>
      <c r="F18" t="s">
        <v>1</v>
      </c>
      <c r="G18">
        <v>-0.80995919999999999</v>
      </c>
      <c r="H18">
        <v>1.793164</v>
      </c>
      <c r="I18">
        <v>-4.1604799999999997</v>
      </c>
      <c r="J18">
        <v>346.25869999999998</v>
      </c>
      <c r="K18">
        <v>159.13980000000001</v>
      </c>
      <c r="L18">
        <v>358.35410000000002</v>
      </c>
    </row>
    <row r="19" spans="1:12" x14ac:dyDescent="0.2">
      <c r="A19" s="1">
        <v>42958.459444444445</v>
      </c>
      <c r="B19">
        <v>537.01779999999997</v>
      </c>
      <c r="C19">
        <v>5</v>
      </c>
      <c r="D19" t="s">
        <v>36</v>
      </c>
      <c r="E19" t="s">
        <v>0</v>
      </c>
      <c r="F19" t="s">
        <v>1</v>
      </c>
      <c r="G19">
        <v>17.82319</v>
      </c>
      <c r="H19">
        <v>1.7779229999999999</v>
      </c>
      <c r="I19">
        <v>-12.65516</v>
      </c>
      <c r="J19">
        <v>354.26589999999999</v>
      </c>
      <c r="K19">
        <v>105.81140000000001</v>
      </c>
      <c r="L19">
        <v>357.50470000000001</v>
      </c>
    </row>
    <row r="20" spans="1:12" x14ac:dyDescent="0.2">
      <c r="A20" s="1">
        <v>42958.459456018521</v>
      </c>
      <c r="B20">
        <v>538.45150000000001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1.777145</v>
      </c>
      <c r="I20">
        <v>-1.4059999999999999</v>
      </c>
      <c r="J20">
        <v>357.5172</v>
      </c>
      <c r="K20">
        <v>104.18859999999999</v>
      </c>
      <c r="L20">
        <v>356.98129999999998</v>
      </c>
    </row>
    <row r="21" spans="1:12" x14ac:dyDescent="0.2">
      <c r="A21" s="1">
        <v>42958.45952546296</v>
      </c>
      <c r="B21">
        <v>543.61360000000002</v>
      </c>
      <c r="C21">
        <v>6</v>
      </c>
      <c r="D21" t="s">
        <v>35</v>
      </c>
      <c r="E21" t="s">
        <v>33</v>
      </c>
      <c r="F21" t="s">
        <v>3</v>
      </c>
      <c r="G21">
        <v>-3.9757600000000002</v>
      </c>
      <c r="H21">
        <v>1.770845</v>
      </c>
      <c r="I21">
        <v>-1.3778140000000001</v>
      </c>
      <c r="J21">
        <v>356.66980000000001</v>
      </c>
      <c r="K21">
        <v>95.355189999999993</v>
      </c>
      <c r="L21">
        <v>1.106716</v>
      </c>
    </row>
    <row r="22" spans="1:12" x14ac:dyDescent="0.2">
      <c r="A22" s="1">
        <v>42958.460347222222</v>
      </c>
      <c r="B22">
        <v>614.57989999999995</v>
      </c>
      <c r="C22">
        <v>6</v>
      </c>
      <c r="D22" t="s">
        <v>36</v>
      </c>
      <c r="E22" t="s">
        <v>33</v>
      </c>
      <c r="F22" t="s">
        <v>3</v>
      </c>
      <c r="G22">
        <v>13.31264</v>
      </c>
      <c r="H22">
        <v>1.78582</v>
      </c>
      <c r="I22">
        <v>-15.7928</v>
      </c>
      <c r="J22">
        <v>2.12649</v>
      </c>
      <c r="K22">
        <v>7.8206689999999996</v>
      </c>
      <c r="L22">
        <v>357.17140000000001</v>
      </c>
    </row>
    <row r="23" spans="1:12" x14ac:dyDescent="0.2">
      <c r="A23" s="1">
        <v>42958.460358796299</v>
      </c>
      <c r="B23">
        <v>615.59220000000005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1.7831079999999999</v>
      </c>
      <c r="I23">
        <v>4.1399999999999997</v>
      </c>
      <c r="J23">
        <v>1.4114469999999999</v>
      </c>
      <c r="K23">
        <v>8.0124019999999998</v>
      </c>
      <c r="L23">
        <v>355.9855</v>
      </c>
    </row>
    <row r="24" spans="1:12" x14ac:dyDescent="0.2">
      <c r="A24" s="1">
        <v>42958.460405092592</v>
      </c>
      <c r="B24">
        <v>620.31550000000004</v>
      </c>
      <c r="C24">
        <v>7</v>
      </c>
      <c r="D24" t="s">
        <v>35</v>
      </c>
      <c r="E24" t="s">
        <v>1</v>
      </c>
      <c r="F24" t="s">
        <v>5</v>
      </c>
      <c r="G24">
        <v>-4.147926</v>
      </c>
      <c r="H24">
        <v>1.78142</v>
      </c>
      <c r="I24">
        <v>4.1694459999999998</v>
      </c>
      <c r="J24">
        <v>356.98849999999999</v>
      </c>
      <c r="K24">
        <v>352.77760000000001</v>
      </c>
      <c r="L24">
        <v>359.34059999999999</v>
      </c>
    </row>
    <row r="25" spans="1:12" x14ac:dyDescent="0.2">
      <c r="A25" s="1">
        <v>42958.461122685185</v>
      </c>
      <c r="B25">
        <v>682.22339999999997</v>
      </c>
      <c r="C25">
        <v>7</v>
      </c>
      <c r="D25" t="s">
        <v>36</v>
      </c>
      <c r="E25" t="s">
        <v>1</v>
      </c>
      <c r="F25" t="s">
        <v>5</v>
      </c>
      <c r="G25">
        <v>-5.2809080000000002</v>
      </c>
      <c r="H25">
        <v>1.7833730000000001</v>
      </c>
      <c r="I25">
        <v>18.798439999999999</v>
      </c>
      <c r="J25">
        <v>357.60539999999997</v>
      </c>
      <c r="K25">
        <v>145.06440000000001</v>
      </c>
      <c r="L25">
        <v>358.9905</v>
      </c>
    </row>
    <row r="26" spans="1:12" x14ac:dyDescent="0.2">
      <c r="A26" s="1">
        <v>42958.461134259262</v>
      </c>
      <c r="B26">
        <v>683.53920000000005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1.782567</v>
      </c>
      <c r="I26">
        <v>-4.3440000000000003</v>
      </c>
      <c r="J26">
        <v>357.44569999999999</v>
      </c>
      <c r="K26">
        <v>144.82660000000001</v>
      </c>
      <c r="L26">
        <v>359.09010000000001</v>
      </c>
    </row>
    <row r="27" spans="1:12" x14ac:dyDescent="0.2">
      <c r="A27" s="1">
        <v>42958.46125</v>
      </c>
      <c r="B27">
        <v>693.18820000000005</v>
      </c>
      <c r="C27">
        <v>8</v>
      </c>
      <c r="D27" t="s">
        <v>35</v>
      </c>
      <c r="E27" t="s">
        <v>2</v>
      </c>
      <c r="F27" t="s">
        <v>0</v>
      </c>
      <c r="G27">
        <v>3.5415380000000001</v>
      </c>
      <c r="H27">
        <v>1.792619</v>
      </c>
      <c r="I27">
        <v>-4.3069769999999998</v>
      </c>
      <c r="J27">
        <v>353.37380000000002</v>
      </c>
      <c r="K27">
        <v>172.8759</v>
      </c>
      <c r="L27">
        <v>348.51740000000001</v>
      </c>
    </row>
    <row r="28" spans="1:12" x14ac:dyDescent="0.2">
      <c r="A28" s="1">
        <v>42958.462002314816</v>
      </c>
      <c r="B28">
        <v>757.77840000000003</v>
      </c>
      <c r="C28">
        <v>8</v>
      </c>
      <c r="D28" t="s">
        <v>36</v>
      </c>
      <c r="E28" t="s">
        <v>2</v>
      </c>
      <c r="F28" t="s">
        <v>0</v>
      </c>
      <c r="G28">
        <v>-5.6330640000000001</v>
      </c>
      <c r="H28">
        <v>1.791885</v>
      </c>
      <c r="I28">
        <v>-13.132149999999999</v>
      </c>
      <c r="J28">
        <v>358.65280000000001</v>
      </c>
      <c r="K28">
        <v>320.10879999999997</v>
      </c>
      <c r="L28">
        <v>356.21109999999999</v>
      </c>
    </row>
    <row r="29" spans="1:12" x14ac:dyDescent="0.2">
      <c r="A29" s="1">
        <v>42958.462025462963</v>
      </c>
      <c r="B29">
        <v>760.44370000000004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1.787741</v>
      </c>
      <c r="I29">
        <v>-1.4059999999999999</v>
      </c>
      <c r="J29">
        <v>358.56830000000002</v>
      </c>
      <c r="K29">
        <v>320.98930000000001</v>
      </c>
      <c r="L29">
        <v>357.15710000000001</v>
      </c>
    </row>
    <row r="30" spans="1:12" x14ac:dyDescent="0.2">
      <c r="A30" s="1">
        <v>42958.462141203701</v>
      </c>
      <c r="B30">
        <v>769.93989999999997</v>
      </c>
      <c r="C30">
        <v>9</v>
      </c>
      <c r="D30" t="s">
        <v>35</v>
      </c>
      <c r="E30" t="s">
        <v>33</v>
      </c>
      <c r="F30" t="s">
        <v>3</v>
      </c>
      <c r="G30">
        <v>-4.0023020000000002</v>
      </c>
      <c r="H30">
        <v>1.792662</v>
      </c>
      <c r="I30">
        <v>-1.3722190000000001</v>
      </c>
      <c r="J30">
        <v>353.55720000000002</v>
      </c>
      <c r="K30">
        <v>317.21109999999999</v>
      </c>
      <c r="L30">
        <v>353.54349999999999</v>
      </c>
    </row>
    <row r="31" spans="1:12" x14ac:dyDescent="0.2">
      <c r="A31" s="1">
        <v>42958.462870370371</v>
      </c>
      <c r="B31">
        <v>833.428</v>
      </c>
      <c r="C31">
        <v>9</v>
      </c>
      <c r="D31" t="s">
        <v>36</v>
      </c>
      <c r="E31" t="s">
        <v>33</v>
      </c>
      <c r="F31" t="s">
        <v>3</v>
      </c>
      <c r="G31">
        <v>18.014199999999999</v>
      </c>
      <c r="H31">
        <v>1.7784199999999999</v>
      </c>
      <c r="I31">
        <v>3.4375740000000001</v>
      </c>
      <c r="J31">
        <v>2.6044779999999998</v>
      </c>
      <c r="K31">
        <v>258.92849999999999</v>
      </c>
      <c r="L31">
        <v>356.0881</v>
      </c>
    </row>
    <row r="32" spans="1:12" x14ac:dyDescent="0.2">
      <c r="A32" s="1">
        <v>42958.462893518517</v>
      </c>
      <c r="B32">
        <v>835.16489999999999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1.7779720000000001</v>
      </c>
      <c r="I32">
        <v>2.7240000000000002</v>
      </c>
      <c r="J32">
        <v>358.36669999999998</v>
      </c>
      <c r="K32">
        <v>266.20429999999999</v>
      </c>
      <c r="L32">
        <v>355.36149999999998</v>
      </c>
    </row>
    <row r="33" spans="1:12" x14ac:dyDescent="0.2">
      <c r="A33" s="1">
        <v>42958.46298611111</v>
      </c>
      <c r="B33">
        <v>842.80600000000004</v>
      </c>
      <c r="C33">
        <v>10</v>
      </c>
      <c r="D33" t="s">
        <v>35</v>
      </c>
      <c r="E33" t="s">
        <v>5</v>
      </c>
      <c r="F33" t="s">
        <v>2</v>
      </c>
      <c r="G33">
        <v>1.2545519999999999E-2</v>
      </c>
      <c r="H33">
        <v>1.7795430000000001</v>
      </c>
      <c r="I33">
        <v>2.7473380000000001</v>
      </c>
      <c r="J33">
        <v>356.62169999999998</v>
      </c>
      <c r="K33">
        <v>271.53179999999998</v>
      </c>
      <c r="L33">
        <v>357.29820000000001</v>
      </c>
    </row>
    <row r="34" spans="1:12" x14ac:dyDescent="0.2">
      <c r="A34" s="1">
        <v>42958.463275462964</v>
      </c>
      <c r="B34">
        <v>868.39030000000002</v>
      </c>
      <c r="C34">
        <v>10</v>
      </c>
      <c r="D34" t="s">
        <v>36</v>
      </c>
      <c r="E34" t="s">
        <v>5</v>
      </c>
      <c r="F34" t="s">
        <v>2</v>
      </c>
      <c r="G34">
        <v>5.6978989999999996</v>
      </c>
      <c r="H34">
        <v>1.7740290000000001</v>
      </c>
      <c r="I34">
        <v>0.97123380000000004</v>
      </c>
      <c r="J34">
        <v>4.209435</v>
      </c>
      <c r="K34">
        <v>152.8989</v>
      </c>
      <c r="L34">
        <v>357.52589999999998</v>
      </c>
    </row>
    <row r="35" spans="1:12" x14ac:dyDescent="0.2">
      <c r="A35" s="1">
        <v>42958.463310185187</v>
      </c>
      <c r="B35">
        <v>871.20640000000003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1.7743199999999999</v>
      </c>
      <c r="I35">
        <v>-4.117</v>
      </c>
      <c r="J35">
        <v>2.4120560000000002</v>
      </c>
      <c r="K35">
        <v>153.3776</v>
      </c>
      <c r="L35">
        <v>356.68639999999999</v>
      </c>
    </row>
    <row r="36" spans="1:12" x14ac:dyDescent="0.2">
      <c r="A36" s="1">
        <v>42958.46334490741</v>
      </c>
      <c r="B36">
        <v>873.80330000000004</v>
      </c>
      <c r="C36">
        <v>11</v>
      </c>
      <c r="D36" t="s">
        <v>35</v>
      </c>
      <c r="E36" t="s">
        <v>0</v>
      </c>
      <c r="F36" t="s">
        <v>1</v>
      </c>
      <c r="G36">
        <v>-0.80664349999999996</v>
      </c>
      <c r="H36">
        <v>1.7446619999999999</v>
      </c>
      <c r="I36">
        <v>-4.0778600000000003</v>
      </c>
      <c r="J36">
        <v>11.37067</v>
      </c>
      <c r="K36">
        <v>139.1525</v>
      </c>
      <c r="L36">
        <v>1.89072</v>
      </c>
    </row>
    <row r="37" spans="1:12" x14ac:dyDescent="0.2">
      <c r="A37" s="1">
        <v>42958.463935185187</v>
      </c>
      <c r="B37">
        <v>925.36720000000003</v>
      </c>
      <c r="C37">
        <v>11</v>
      </c>
      <c r="D37" t="s">
        <v>36</v>
      </c>
      <c r="E37" t="s">
        <v>0</v>
      </c>
      <c r="F37" t="s">
        <v>1</v>
      </c>
      <c r="G37">
        <v>7.5751670000000004</v>
      </c>
      <c r="H37">
        <v>1.779455</v>
      </c>
      <c r="I37">
        <v>-11.92473</v>
      </c>
      <c r="J37">
        <v>4.8797449999999998</v>
      </c>
      <c r="K37">
        <v>256.48250000000002</v>
      </c>
      <c r="L37">
        <v>354.1386</v>
      </c>
    </row>
    <row r="38" spans="1:12" x14ac:dyDescent="0.2">
      <c r="A38" s="1">
        <v>42958.463958333334</v>
      </c>
      <c r="B38">
        <v>927.20579999999995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1.7765329999999999</v>
      </c>
      <c r="I38">
        <v>1.8169999999999999</v>
      </c>
      <c r="J38">
        <v>2.9067569999999998</v>
      </c>
      <c r="K38">
        <v>252.3203</v>
      </c>
      <c r="L38">
        <v>356.86579999999998</v>
      </c>
    </row>
    <row r="39" spans="1:12" x14ac:dyDescent="0.2">
      <c r="A39" s="1">
        <v>42958.464050925926</v>
      </c>
      <c r="B39">
        <v>934.61180000000002</v>
      </c>
      <c r="C39">
        <v>12</v>
      </c>
      <c r="D39" t="s">
        <v>35</v>
      </c>
      <c r="E39" t="s">
        <v>3</v>
      </c>
      <c r="F39" t="s">
        <v>4</v>
      </c>
      <c r="G39">
        <v>3.4835039999999999</v>
      </c>
      <c r="H39">
        <v>1.766964</v>
      </c>
      <c r="I39">
        <v>1.8544050000000001</v>
      </c>
      <c r="J39">
        <v>5.6707109999999998</v>
      </c>
      <c r="K39">
        <v>126.3302</v>
      </c>
      <c r="L39">
        <v>356.19740000000002</v>
      </c>
    </row>
    <row r="40" spans="1:12" x14ac:dyDescent="0.2">
      <c r="A40" s="1">
        <v>42958.464907407404</v>
      </c>
      <c r="B40">
        <v>1009.421</v>
      </c>
      <c r="C40">
        <v>12</v>
      </c>
      <c r="D40" t="s">
        <v>36</v>
      </c>
      <c r="E40" t="s">
        <v>3</v>
      </c>
      <c r="F40" t="s">
        <v>4</v>
      </c>
      <c r="G40">
        <v>-18.819089999999999</v>
      </c>
      <c r="H40">
        <v>1.78813</v>
      </c>
      <c r="I40">
        <v>-3.6103969999999999</v>
      </c>
      <c r="J40">
        <v>359.65289999999999</v>
      </c>
      <c r="K40">
        <v>102.11020000000001</v>
      </c>
      <c r="L40">
        <v>357.43869999999998</v>
      </c>
    </row>
    <row r="41" spans="1:12" x14ac:dyDescent="0.2">
      <c r="A41" s="1">
        <v>42958.464930555558</v>
      </c>
      <c r="B41">
        <v>1011.326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1.7795019999999999</v>
      </c>
      <c r="I41">
        <v>-1.4059999999999999</v>
      </c>
      <c r="J41">
        <v>0.57944720000000005</v>
      </c>
      <c r="K41">
        <v>100.9659</v>
      </c>
      <c r="L41">
        <v>356.29230000000001</v>
      </c>
    </row>
    <row r="42" spans="1:12" x14ac:dyDescent="0.2">
      <c r="A42" s="1">
        <v>42958.465011574073</v>
      </c>
      <c r="B42">
        <v>1017.837</v>
      </c>
      <c r="C42">
        <v>13</v>
      </c>
      <c r="D42" t="s">
        <v>35</v>
      </c>
      <c r="E42" t="s">
        <v>33</v>
      </c>
      <c r="F42" t="s">
        <v>3</v>
      </c>
      <c r="G42">
        <v>-3.9782350000000002</v>
      </c>
      <c r="H42">
        <v>1.7797780000000001</v>
      </c>
      <c r="I42">
        <v>-1.419837</v>
      </c>
      <c r="J42">
        <v>358.15289999999999</v>
      </c>
      <c r="K42">
        <v>90.447460000000007</v>
      </c>
      <c r="L42">
        <v>354.0763</v>
      </c>
    </row>
    <row r="43" spans="1:12" x14ac:dyDescent="0.2">
      <c r="A43" s="1">
        <v>42958.465520833335</v>
      </c>
      <c r="B43">
        <v>1062.317</v>
      </c>
      <c r="C43">
        <v>13</v>
      </c>
      <c r="D43" t="s">
        <v>36</v>
      </c>
      <c r="E43" t="s">
        <v>33</v>
      </c>
      <c r="F43" t="s">
        <v>3</v>
      </c>
      <c r="G43">
        <v>10.48523</v>
      </c>
      <c r="H43">
        <v>1.7840309999999999</v>
      </c>
      <c r="I43">
        <v>-6.8048520000000003</v>
      </c>
      <c r="J43">
        <v>0.78933560000000003</v>
      </c>
      <c r="K43">
        <v>249.262</v>
      </c>
      <c r="L43">
        <v>355.92309999999998</v>
      </c>
    </row>
    <row r="44" spans="1:12" x14ac:dyDescent="0.2">
      <c r="A44" s="1">
        <v>42958.465543981481</v>
      </c>
      <c r="B44">
        <v>1064.3579999999999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1.7808550000000001</v>
      </c>
      <c r="I44">
        <v>2.7240000000000002</v>
      </c>
      <c r="J44">
        <v>358.73950000000002</v>
      </c>
      <c r="K44">
        <v>255.5164</v>
      </c>
      <c r="L44">
        <v>357.63470000000001</v>
      </c>
    </row>
    <row r="45" spans="1:12" x14ac:dyDescent="0.2">
      <c r="A45" s="1">
        <v>42958.465590277781</v>
      </c>
      <c r="B45">
        <v>1068.1030000000001</v>
      </c>
      <c r="C45">
        <v>14</v>
      </c>
      <c r="D45" t="s">
        <v>35</v>
      </c>
      <c r="E45" t="s">
        <v>5</v>
      </c>
      <c r="F45" t="s">
        <v>2</v>
      </c>
      <c r="G45">
        <v>4.107131E-2</v>
      </c>
      <c r="H45">
        <v>1.7471749999999999</v>
      </c>
      <c r="I45">
        <v>2.7626230000000001</v>
      </c>
      <c r="J45">
        <v>11.78257</v>
      </c>
      <c r="K45">
        <v>229.08330000000001</v>
      </c>
      <c r="L45">
        <v>0.71116950000000001</v>
      </c>
    </row>
    <row r="46" spans="1:12" x14ac:dyDescent="0.2">
      <c r="A46" s="1">
        <v>42958.465821759259</v>
      </c>
      <c r="B46">
        <v>1088.069</v>
      </c>
      <c r="C46">
        <v>14</v>
      </c>
      <c r="D46" t="s">
        <v>36</v>
      </c>
      <c r="E46" t="s">
        <v>5</v>
      </c>
      <c r="F46" t="s">
        <v>2</v>
      </c>
      <c r="G46">
        <v>5.7394879999999997</v>
      </c>
      <c r="H46">
        <v>1.7741</v>
      </c>
      <c r="I46">
        <v>-1.06698</v>
      </c>
      <c r="J46">
        <v>4.1071109999999997</v>
      </c>
      <c r="K46">
        <v>216.90020000000001</v>
      </c>
      <c r="L46">
        <v>353.7235</v>
      </c>
    </row>
    <row r="47" spans="1:12" x14ac:dyDescent="0.2">
      <c r="A47" s="1">
        <v>42958.465844907405</v>
      </c>
      <c r="B47">
        <v>1089.6030000000001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1.771998</v>
      </c>
      <c r="I47">
        <v>0.09</v>
      </c>
      <c r="J47">
        <v>2.4390260000000001</v>
      </c>
      <c r="K47">
        <v>212.60980000000001</v>
      </c>
      <c r="L47">
        <v>356.52870000000001</v>
      </c>
    </row>
    <row r="48" spans="1:12" x14ac:dyDescent="0.2">
      <c r="A48" s="1">
        <v>42958.465891203705</v>
      </c>
      <c r="B48">
        <v>1093.9880000000001</v>
      </c>
      <c r="C48">
        <v>15</v>
      </c>
      <c r="D48" t="s">
        <v>35</v>
      </c>
      <c r="E48" t="s">
        <v>6</v>
      </c>
      <c r="F48" t="s">
        <v>33</v>
      </c>
      <c r="G48">
        <v>-4.1365499999999997</v>
      </c>
      <c r="H48">
        <v>1.762224</v>
      </c>
      <c r="I48">
        <v>0.16688159999999999</v>
      </c>
      <c r="J48">
        <v>3.687449</v>
      </c>
      <c r="K48">
        <v>171.8613</v>
      </c>
      <c r="L48">
        <v>356.52670000000001</v>
      </c>
    </row>
    <row r="49" spans="1:12" x14ac:dyDescent="0.2">
      <c r="A49" s="1">
        <v>42958.466666666667</v>
      </c>
      <c r="B49">
        <v>1160.5650000000001</v>
      </c>
      <c r="C49">
        <v>15</v>
      </c>
      <c r="D49" t="s">
        <v>36</v>
      </c>
      <c r="E49" t="s">
        <v>6</v>
      </c>
      <c r="F49" t="s">
        <v>33</v>
      </c>
      <c r="G49">
        <v>10.307790000000001</v>
      </c>
      <c r="H49">
        <v>1.781407</v>
      </c>
      <c r="I49">
        <v>14.131589999999999</v>
      </c>
      <c r="J49">
        <v>2.6217649999999999</v>
      </c>
      <c r="K49">
        <v>165.29660000000001</v>
      </c>
      <c r="L49">
        <v>356.88240000000002</v>
      </c>
    </row>
    <row r="50" spans="1:12" x14ac:dyDescent="0.2">
      <c r="A50" s="1">
        <v>42958.466678240744</v>
      </c>
      <c r="B50">
        <v>1161.712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1.7818130000000001</v>
      </c>
      <c r="I50">
        <v>-0.67300000000000004</v>
      </c>
      <c r="J50">
        <v>1.712235</v>
      </c>
      <c r="K50">
        <v>171.32919999999999</v>
      </c>
      <c r="L50">
        <v>356.62729999999999</v>
      </c>
    </row>
    <row r="51" spans="1:12" x14ac:dyDescent="0.2">
      <c r="A51" s="1">
        <v>42958.466736111113</v>
      </c>
      <c r="B51">
        <v>1167.4100000000001</v>
      </c>
      <c r="C51">
        <v>16</v>
      </c>
      <c r="D51" t="s">
        <v>35</v>
      </c>
      <c r="E51" t="s">
        <v>4</v>
      </c>
      <c r="F51" t="s">
        <v>6</v>
      </c>
      <c r="G51">
        <v>3.9266109999999999</v>
      </c>
      <c r="H51">
        <v>1.783145</v>
      </c>
      <c r="I51">
        <v>-0.67213920000000005</v>
      </c>
      <c r="J51">
        <v>1.578066</v>
      </c>
      <c r="K51">
        <v>168.1677</v>
      </c>
      <c r="L51">
        <v>354.16750000000002</v>
      </c>
    </row>
    <row r="52" spans="1:12" x14ac:dyDescent="0.2">
      <c r="A52" s="1">
        <v>42958.467731481483</v>
      </c>
      <c r="B52">
        <v>1253.02</v>
      </c>
      <c r="C52">
        <v>16</v>
      </c>
      <c r="D52" t="s">
        <v>36</v>
      </c>
      <c r="E52" t="s">
        <v>4</v>
      </c>
      <c r="F52" t="s">
        <v>6</v>
      </c>
      <c r="G52">
        <v>2.489582</v>
      </c>
      <c r="H52">
        <v>1.785676</v>
      </c>
      <c r="I52">
        <v>22.714880000000001</v>
      </c>
      <c r="J52">
        <v>1.8954629999999999</v>
      </c>
      <c r="K52">
        <v>60.978960000000001</v>
      </c>
      <c r="L52">
        <v>355.459</v>
      </c>
    </row>
    <row r="53" spans="1:12" x14ac:dyDescent="0.2">
      <c r="A53" s="1">
        <v>42958.46775462963</v>
      </c>
      <c r="B53">
        <v>1254.7739999999999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1.784626</v>
      </c>
      <c r="I53">
        <v>1.8169999999999999</v>
      </c>
      <c r="J53">
        <v>1.4944440000000001</v>
      </c>
      <c r="K53">
        <v>63.245370000000001</v>
      </c>
      <c r="L53">
        <v>359.50229999999999</v>
      </c>
    </row>
    <row r="54" spans="1:12" x14ac:dyDescent="0.2">
      <c r="A54" s="1">
        <v>42958.467766203707</v>
      </c>
      <c r="B54">
        <v>1256.2239999999999</v>
      </c>
      <c r="C54">
        <v>17</v>
      </c>
      <c r="D54" t="s">
        <v>35</v>
      </c>
      <c r="E54" t="s">
        <v>3</v>
      </c>
      <c r="F54" t="s">
        <v>4</v>
      </c>
      <c r="G54">
        <v>3.3445420000000001</v>
      </c>
      <c r="H54">
        <v>1.7776609999999999</v>
      </c>
      <c r="I54">
        <v>1.8334950000000001</v>
      </c>
      <c r="J54">
        <v>6.0886550000000002</v>
      </c>
      <c r="K54">
        <v>57.634180000000001</v>
      </c>
      <c r="L54">
        <v>1.997155</v>
      </c>
    </row>
    <row r="55" spans="1:12" x14ac:dyDescent="0.2">
      <c r="A55" s="1">
        <v>42958.468738425923</v>
      </c>
      <c r="B55">
        <v>1340.443</v>
      </c>
      <c r="C55">
        <v>17</v>
      </c>
      <c r="D55" t="s">
        <v>36</v>
      </c>
      <c r="E55" t="s">
        <v>3</v>
      </c>
      <c r="F55" t="s">
        <v>4</v>
      </c>
      <c r="G55">
        <v>-13.69314</v>
      </c>
      <c r="H55">
        <v>1.7822070000000001</v>
      </c>
      <c r="I55">
        <v>-18.806380000000001</v>
      </c>
      <c r="J55">
        <v>5.6113840000000001</v>
      </c>
      <c r="K55">
        <v>44.207439999999998</v>
      </c>
      <c r="L55">
        <v>357.52510000000001</v>
      </c>
    </row>
    <row r="56" spans="1:12" x14ac:dyDescent="0.2">
      <c r="A56" s="1">
        <v>42958.468761574077</v>
      </c>
      <c r="B56">
        <v>1341.691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1.782438</v>
      </c>
      <c r="I56">
        <v>-4.3440000000000003</v>
      </c>
      <c r="J56">
        <v>3.3366349999999998</v>
      </c>
      <c r="K56">
        <v>43.881030000000003</v>
      </c>
      <c r="L56">
        <v>358.00060000000002</v>
      </c>
    </row>
    <row r="57" spans="1:12" x14ac:dyDescent="0.2">
      <c r="A57" s="1">
        <v>42958.468842592592</v>
      </c>
      <c r="B57">
        <v>1349.164</v>
      </c>
      <c r="C57">
        <v>18</v>
      </c>
      <c r="D57" t="s">
        <v>35</v>
      </c>
      <c r="E57" t="s">
        <v>2</v>
      </c>
      <c r="F57" t="s">
        <v>0</v>
      </c>
      <c r="G57">
        <v>3.4952709999999998</v>
      </c>
      <c r="H57">
        <v>1.776861</v>
      </c>
      <c r="I57">
        <v>-4.2302670000000004</v>
      </c>
      <c r="J57">
        <v>0.27977000000000002</v>
      </c>
      <c r="K57">
        <v>297.0172</v>
      </c>
      <c r="L57">
        <v>7.8459749999999995E-2</v>
      </c>
    </row>
    <row r="58" spans="1:12" x14ac:dyDescent="0.2">
      <c r="A58" s="1">
        <v>42958.469571759262</v>
      </c>
      <c r="B58">
        <v>1411.604</v>
      </c>
      <c r="C58">
        <v>18</v>
      </c>
      <c r="D58" t="s">
        <v>36</v>
      </c>
      <c r="E58" t="s">
        <v>2</v>
      </c>
      <c r="F58" t="s">
        <v>0</v>
      </c>
      <c r="G58">
        <v>18.56493</v>
      </c>
      <c r="H58">
        <v>1.7768790000000001</v>
      </c>
      <c r="I58">
        <v>2.8866510000000001</v>
      </c>
      <c r="J58">
        <v>6.2259820000000001</v>
      </c>
      <c r="K58">
        <v>291.20100000000002</v>
      </c>
      <c r="L58">
        <v>356.78030000000001</v>
      </c>
    </row>
    <row r="59" spans="1:12" x14ac:dyDescent="0.2">
      <c r="A59" s="1">
        <v>42958.469583333332</v>
      </c>
      <c r="B59">
        <v>1412.9870000000001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1.7726999999999999</v>
      </c>
      <c r="I59">
        <v>-0.67300000000000004</v>
      </c>
      <c r="J59">
        <v>5.2502120000000003</v>
      </c>
      <c r="K59">
        <v>288.82089999999999</v>
      </c>
      <c r="L59">
        <v>357.46600000000001</v>
      </c>
    </row>
    <row r="60" spans="1:12" x14ac:dyDescent="0.2">
      <c r="A60" s="1">
        <v>42958.469629629632</v>
      </c>
      <c r="B60">
        <v>1417.424</v>
      </c>
      <c r="C60">
        <v>19</v>
      </c>
      <c r="D60" t="s">
        <v>35</v>
      </c>
      <c r="E60" t="s">
        <v>4</v>
      </c>
      <c r="F60" t="s">
        <v>6</v>
      </c>
      <c r="G60">
        <v>3.9151150000000001</v>
      </c>
      <c r="H60">
        <v>1.7774049999999999</v>
      </c>
      <c r="I60">
        <v>-0.69940919999999995</v>
      </c>
      <c r="J60">
        <v>2.3987599999999998</v>
      </c>
      <c r="K60">
        <v>285.06220000000002</v>
      </c>
      <c r="L60">
        <v>354.06040000000002</v>
      </c>
    </row>
    <row r="61" spans="1:12" x14ac:dyDescent="0.2">
      <c r="A61" s="1">
        <v>42958.470613425925</v>
      </c>
      <c r="B61">
        <v>1501.704</v>
      </c>
      <c r="C61">
        <v>19</v>
      </c>
      <c r="D61" t="s">
        <v>36</v>
      </c>
      <c r="E61" t="s">
        <v>4</v>
      </c>
      <c r="F61" t="s">
        <v>6</v>
      </c>
      <c r="G61">
        <v>-19.316469999999999</v>
      </c>
      <c r="H61">
        <v>1.77444</v>
      </c>
      <c r="I61">
        <v>8.0497259999999997</v>
      </c>
      <c r="J61">
        <v>5.4427719999999997</v>
      </c>
      <c r="K61">
        <v>183.2663</v>
      </c>
      <c r="L61">
        <v>356.779</v>
      </c>
    </row>
    <row r="62" spans="1:12" x14ac:dyDescent="0.2">
      <c r="A62" s="1">
        <v>42958.470625000002</v>
      </c>
      <c r="B62">
        <v>1503.0029999999999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1.7748010000000001</v>
      </c>
      <c r="I62">
        <v>-1.4059999999999999</v>
      </c>
      <c r="J62">
        <v>2.6876479999999998</v>
      </c>
      <c r="K62">
        <v>184.95179999999999</v>
      </c>
      <c r="L62">
        <v>359.12349999999998</v>
      </c>
    </row>
    <row r="63" spans="1:12" x14ac:dyDescent="0.2">
      <c r="A63" s="1">
        <v>42958.470717592594</v>
      </c>
      <c r="B63">
        <v>1511.452</v>
      </c>
      <c r="C63">
        <v>20</v>
      </c>
      <c r="D63" t="s">
        <v>35</v>
      </c>
      <c r="E63" t="s">
        <v>33</v>
      </c>
      <c r="F63" t="s">
        <v>3</v>
      </c>
      <c r="G63">
        <v>-3.9735909999999999</v>
      </c>
      <c r="H63">
        <v>1.777083</v>
      </c>
      <c r="I63">
        <v>-1.5177419999999999</v>
      </c>
      <c r="J63">
        <v>0.65433140000000001</v>
      </c>
      <c r="K63">
        <v>89.802859999999995</v>
      </c>
      <c r="L63">
        <v>352.41370000000001</v>
      </c>
    </row>
    <row r="64" spans="1:12" x14ac:dyDescent="0.2">
      <c r="A64" s="1">
        <v>42958.471180555556</v>
      </c>
      <c r="B64">
        <v>1550.99</v>
      </c>
      <c r="C64">
        <v>20</v>
      </c>
      <c r="D64" t="s">
        <v>36</v>
      </c>
      <c r="E64" t="s">
        <v>33</v>
      </c>
      <c r="F64" t="s">
        <v>3</v>
      </c>
      <c r="G64">
        <v>9.3624500000000008</v>
      </c>
      <c r="H64">
        <v>1.7753509999999999</v>
      </c>
      <c r="I64">
        <v>-4.9291400000000003</v>
      </c>
      <c r="J64">
        <v>4.7354649999999996</v>
      </c>
      <c r="K64">
        <v>152.96</v>
      </c>
      <c r="L64">
        <v>357.73390000000001</v>
      </c>
    </row>
    <row r="65" spans="1:12" x14ac:dyDescent="0.2">
      <c r="A65" s="1">
        <v>42958.471192129633</v>
      </c>
      <c r="B65">
        <v>1552.4069999999999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1.779582</v>
      </c>
      <c r="I65">
        <v>-4.117</v>
      </c>
      <c r="J65">
        <v>359.5376</v>
      </c>
      <c r="K65">
        <v>155.15809999999999</v>
      </c>
      <c r="L65">
        <v>357.49520000000001</v>
      </c>
    </row>
    <row r="66" spans="1:12" x14ac:dyDescent="0.2">
      <c r="A66" s="1">
        <v>42958.471238425926</v>
      </c>
      <c r="B66">
        <v>1556.0840000000001</v>
      </c>
      <c r="C66">
        <v>21</v>
      </c>
      <c r="D66" t="s">
        <v>35</v>
      </c>
      <c r="E66" t="s">
        <v>0</v>
      </c>
      <c r="F66" t="s">
        <v>1</v>
      </c>
      <c r="G66">
        <v>-0.8706199</v>
      </c>
      <c r="H66">
        <v>1.787175</v>
      </c>
      <c r="I66">
        <v>-4.17014</v>
      </c>
      <c r="J66">
        <v>357.99529999999999</v>
      </c>
      <c r="K66">
        <v>192.9014</v>
      </c>
      <c r="L66">
        <v>354.28440000000001</v>
      </c>
    </row>
    <row r="67" spans="1:12" x14ac:dyDescent="0.2">
      <c r="A67" s="1">
        <v>42958.471921296295</v>
      </c>
      <c r="B67">
        <v>1614.886</v>
      </c>
      <c r="C67">
        <v>21</v>
      </c>
      <c r="D67" t="s">
        <v>36</v>
      </c>
      <c r="E67" t="s">
        <v>0</v>
      </c>
      <c r="F67" t="s">
        <v>1</v>
      </c>
      <c r="G67">
        <v>8.2352799999999995</v>
      </c>
      <c r="H67">
        <v>1.782691</v>
      </c>
      <c r="I67">
        <v>-13.96752</v>
      </c>
      <c r="J67">
        <v>0.22325339999999999</v>
      </c>
      <c r="K67">
        <v>8.7496620000000007</v>
      </c>
      <c r="L67">
        <v>358.6429</v>
      </c>
    </row>
    <row r="68" spans="1:12" x14ac:dyDescent="0.2">
      <c r="A68" s="1">
        <v>42958.471932870372</v>
      </c>
      <c r="B68">
        <v>1616.117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1.7809269999999999</v>
      </c>
      <c r="I68">
        <v>4.1399999999999997</v>
      </c>
      <c r="J68">
        <v>359.70920000000001</v>
      </c>
      <c r="K68">
        <v>9.8768390000000004</v>
      </c>
      <c r="L68">
        <v>358.57080000000002</v>
      </c>
    </row>
    <row r="69" spans="1:12" x14ac:dyDescent="0.2">
      <c r="A69" s="1">
        <v>42958.472002314818</v>
      </c>
      <c r="B69">
        <v>1622.154</v>
      </c>
      <c r="C69">
        <v>22</v>
      </c>
      <c r="D69" t="s">
        <v>35</v>
      </c>
      <c r="E69" t="s">
        <v>1</v>
      </c>
      <c r="F69" t="s">
        <v>5</v>
      </c>
      <c r="G69">
        <v>-4.1105309999999999</v>
      </c>
      <c r="H69">
        <v>1.7868299999999999</v>
      </c>
      <c r="I69">
        <v>4.116784</v>
      </c>
      <c r="J69">
        <v>356.15069999999997</v>
      </c>
      <c r="K69">
        <v>353.58139999999997</v>
      </c>
      <c r="L69">
        <v>353.89850000000001</v>
      </c>
    </row>
    <row r="70" spans="1:12" x14ac:dyDescent="0.2">
      <c r="A70" s="1">
        <v>42958.472916666666</v>
      </c>
      <c r="B70">
        <v>1701.26</v>
      </c>
      <c r="C70">
        <v>22</v>
      </c>
      <c r="D70" t="s">
        <v>36</v>
      </c>
      <c r="E70" t="s">
        <v>1</v>
      </c>
      <c r="F70" t="s">
        <v>5</v>
      </c>
      <c r="G70">
        <v>-6.3461829999999999</v>
      </c>
      <c r="H70">
        <v>1.781666</v>
      </c>
      <c r="I70">
        <v>28.571770000000001</v>
      </c>
      <c r="J70">
        <v>0.2330923</v>
      </c>
      <c r="K70">
        <v>242.2808</v>
      </c>
      <c r="L70">
        <v>358.09629999999999</v>
      </c>
    </row>
    <row r="71" spans="1:12" x14ac:dyDescent="0.2">
      <c r="A71" s="1">
        <v>42958.472951388889</v>
      </c>
      <c r="B71">
        <v>1704.1089999999999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1.780713</v>
      </c>
      <c r="I71">
        <v>0.09</v>
      </c>
      <c r="J71">
        <v>357.60210000000001</v>
      </c>
      <c r="K71">
        <v>250.10499999999999</v>
      </c>
      <c r="L71">
        <v>356.04969999999997</v>
      </c>
    </row>
    <row r="72" spans="1:12" x14ac:dyDescent="0.2">
      <c r="A72" s="1">
        <v>42958.472997685189</v>
      </c>
      <c r="B72">
        <v>1708.4090000000001</v>
      </c>
      <c r="C72">
        <v>23</v>
      </c>
      <c r="D72" t="s">
        <v>35</v>
      </c>
      <c r="E72" t="s">
        <v>6</v>
      </c>
      <c r="F72" t="s">
        <v>33</v>
      </c>
      <c r="G72">
        <v>-4.1012250000000003</v>
      </c>
      <c r="H72">
        <v>1.7716449999999999</v>
      </c>
      <c r="I72">
        <v>8.0052899999999996E-2</v>
      </c>
      <c r="J72">
        <v>358.83909999999997</v>
      </c>
      <c r="K72">
        <v>245.51609999999999</v>
      </c>
      <c r="L72">
        <v>356.10789999999997</v>
      </c>
    </row>
    <row r="73" spans="1:12" x14ac:dyDescent="0.2">
      <c r="A73" s="1">
        <v>42958.473587962966</v>
      </c>
      <c r="B73">
        <v>1758.854</v>
      </c>
      <c r="C73">
        <v>23</v>
      </c>
      <c r="D73" t="s">
        <v>36</v>
      </c>
      <c r="E73" t="s">
        <v>6</v>
      </c>
      <c r="F73" t="s">
        <v>33</v>
      </c>
      <c r="G73">
        <v>-1.5002580000000001</v>
      </c>
      <c r="H73">
        <v>1.7799290000000001</v>
      </c>
      <c r="I73">
        <v>13.25958</v>
      </c>
      <c r="J73">
        <v>1.6892039999999999</v>
      </c>
      <c r="K73">
        <v>85.452799999999996</v>
      </c>
      <c r="L73">
        <v>359.24380000000002</v>
      </c>
    </row>
    <row r="74" spans="1:12" x14ac:dyDescent="0.2">
      <c r="A74" s="1">
        <v>42958.473622685182</v>
      </c>
      <c r="B74">
        <v>1761.5350000000001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1.782783</v>
      </c>
      <c r="I74">
        <v>2.7240000000000002</v>
      </c>
      <c r="J74">
        <v>358.67099999999999</v>
      </c>
      <c r="K74">
        <v>84.306110000000004</v>
      </c>
      <c r="L74">
        <v>359.29640000000001</v>
      </c>
    </row>
    <row r="75" spans="1:12" x14ac:dyDescent="0.2">
      <c r="A75" s="1">
        <v>42958.473657407405</v>
      </c>
      <c r="B75">
        <v>1764.873</v>
      </c>
      <c r="C75">
        <v>24</v>
      </c>
      <c r="D75" t="s">
        <v>35</v>
      </c>
      <c r="E75" t="s">
        <v>5</v>
      </c>
      <c r="F75" t="s">
        <v>2</v>
      </c>
      <c r="G75">
        <v>0.11666310000000001</v>
      </c>
      <c r="H75">
        <v>1.7696989999999999</v>
      </c>
      <c r="I75">
        <v>2.7565740000000001</v>
      </c>
      <c r="J75">
        <v>7.3326339999999997</v>
      </c>
      <c r="K75">
        <v>127.9888</v>
      </c>
      <c r="L75">
        <v>354.53859999999997</v>
      </c>
    </row>
    <row r="76" spans="1:12" x14ac:dyDescent="0.2">
      <c r="A76" s="1">
        <v>42958.473680555559</v>
      </c>
      <c r="B76">
        <v>1766.761</v>
      </c>
      <c r="C76">
        <v>24</v>
      </c>
      <c r="D76" t="s">
        <v>36</v>
      </c>
      <c r="E76" t="s">
        <v>5</v>
      </c>
      <c r="F76" t="s">
        <v>2</v>
      </c>
      <c r="G76">
        <v>3.8412830000000002E-2</v>
      </c>
      <c r="H76">
        <v>1.776929</v>
      </c>
      <c r="I76">
        <v>2.746731</v>
      </c>
      <c r="J76">
        <v>1.092813</v>
      </c>
      <c r="K76">
        <v>104.8918</v>
      </c>
      <c r="L76">
        <v>359.3571</v>
      </c>
    </row>
    <row r="77" spans="1:12" x14ac:dyDescent="0.2">
      <c r="A77" s="1">
        <v>42958.473981481482</v>
      </c>
      <c r="B77">
        <v>1793.1110000000001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1.781741</v>
      </c>
      <c r="I77">
        <v>4.1399999999999997</v>
      </c>
      <c r="J77">
        <v>0.60435459999999996</v>
      </c>
      <c r="K77">
        <v>85.199870000000004</v>
      </c>
      <c r="L77">
        <v>359.6635</v>
      </c>
    </row>
    <row r="78" spans="1:12" x14ac:dyDescent="0.2">
      <c r="A78" s="1">
        <v>42958.474027777775</v>
      </c>
      <c r="B78">
        <v>1796.9549999999999</v>
      </c>
      <c r="C78">
        <v>25</v>
      </c>
      <c r="D78" t="s">
        <v>35</v>
      </c>
      <c r="E78" t="s">
        <v>1</v>
      </c>
      <c r="F78" t="s">
        <v>5</v>
      </c>
      <c r="G78">
        <v>-4.0352620000000003</v>
      </c>
      <c r="H78">
        <v>1.7774840000000001</v>
      </c>
      <c r="I78">
        <v>4.1585270000000003</v>
      </c>
      <c r="J78">
        <v>1.3448580000000001</v>
      </c>
      <c r="K78">
        <v>129.66040000000001</v>
      </c>
      <c r="L78">
        <v>0.89554149999999999</v>
      </c>
    </row>
    <row r="79" spans="1:12" x14ac:dyDescent="0.2">
      <c r="A79" s="1">
        <v>42958.474537037036</v>
      </c>
      <c r="B79">
        <v>1841.4</v>
      </c>
      <c r="C79">
        <v>25</v>
      </c>
      <c r="D79" t="s">
        <v>36</v>
      </c>
      <c r="E79" t="s">
        <v>1</v>
      </c>
      <c r="F79" t="s">
        <v>5</v>
      </c>
      <c r="G79">
        <v>9.065588</v>
      </c>
      <c r="H79">
        <v>1.7904389999999999</v>
      </c>
      <c r="I79">
        <v>7.2312310000000002</v>
      </c>
      <c r="J79">
        <v>358.53070000000002</v>
      </c>
      <c r="K79">
        <v>223.14439999999999</v>
      </c>
      <c r="L79">
        <v>356.08800000000002</v>
      </c>
    </row>
    <row r="80" spans="1:12" x14ac:dyDescent="0.2">
      <c r="A80" s="1">
        <v>42958.474560185183</v>
      </c>
      <c r="B80">
        <v>1843.12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1.7909489999999999</v>
      </c>
      <c r="I80">
        <v>-0.67300000000000004</v>
      </c>
      <c r="J80">
        <v>357.80220000000003</v>
      </c>
      <c r="K80">
        <v>223.26310000000001</v>
      </c>
      <c r="L80">
        <v>358.56319999999999</v>
      </c>
    </row>
    <row r="81" spans="1:12" x14ac:dyDescent="0.2">
      <c r="A81" s="1">
        <v>42958.474629629629</v>
      </c>
      <c r="B81">
        <v>1848.972</v>
      </c>
      <c r="C81">
        <v>26</v>
      </c>
      <c r="D81" t="s">
        <v>35</v>
      </c>
      <c r="E81" t="s">
        <v>4</v>
      </c>
      <c r="F81" t="s">
        <v>6</v>
      </c>
      <c r="G81">
        <v>3.8784369999999999</v>
      </c>
      <c r="H81">
        <v>1.79261</v>
      </c>
      <c r="I81">
        <v>-0.78631070000000003</v>
      </c>
      <c r="J81">
        <v>352.5231</v>
      </c>
      <c r="K81">
        <v>140.6267</v>
      </c>
      <c r="L81">
        <v>351.46609999999998</v>
      </c>
    </row>
    <row r="82" spans="1:12" x14ac:dyDescent="0.2">
      <c r="A82" s="1">
        <v>42958.475578703707</v>
      </c>
      <c r="B82">
        <v>1931.2070000000001</v>
      </c>
      <c r="C82">
        <v>26</v>
      </c>
      <c r="D82" t="s">
        <v>36</v>
      </c>
      <c r="E82" t="s">
        <v>4</v>
      </c>
      <c r="F82" t="s">
        <v>6</v>
      </c>
      <c r="G82">
        <v>-11.86429</v>
      </c>
      <c r="H82">
        <v>1.778586</v>
      </c>
      <c r="I82">
        <v>14.62372</v>
      </c>
      <c r="J82">
        <v>1.9974959999999999</v>
      </c>
      <c r="K82">
        <v>342.30860000000001</v>
      </c>
      <c r="L82">
        <v>355.75720000000001</v>
      </c>
    </row>
    <row r="83" spans="1:12" x14ac:dyDescent="0.2">
      <c r="A83" s="1">
        <v>42958.475590277776</v>
      </c>
      <c r="B83">
        <v>1932.269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1.777879</v>
      </c>
      <c r="I83">
        <v>2.7240000000000002</v>
      </c>
      <c r="J83">
        <v>0.4352722</v>
      </c>
      <c r="K83">
        <v>342.6773</v>
      </c>
      <c r="L83">
        <v>356.41860000000003</v>
      </c>
    </row>
    <row r="84" spans="1:12" x14ac:dyDescent="0.2">
      <c r="A84" s="1">
        <v>42958.475694444445</v>
      </c>
      <c r="B84">
        <v>1941.222</v>
      </c>
      <c r="C84">
        <v>27</v>
      </c>
      <c r="D84" t="s">
        <v>35</v>
      </c>
      <c r="E84" t="s">
        <v>5</v>
      </c>
      <c r="F84" t="s">
        <v>2</v>
      </c>
      <c r="G84">
        <v>7.5256690000000001E-2</v>
      </c>
      <c r="H84">
        <v>1.78244</v>
      </c>
      <c r="I84">
        <v>2.7457060000000002</v>
      </c>
      <c r="J84">
        <v>356.20940000000002</v>
      </c>
      <c r="K84">
        <v>16.285329999999998</v>
      </c>
      <c r="L84">
        <v>346.46030000000002</v>
      </c>
    </row>
    <row r="85" spans="1:12" x14ac:dyDescent="0.2">
      <c r="A85" s="1">
        <v>42958.475983796299</v>
      </c>
      <c r="B85">
        <v>1965.942</v>
      </c>
      <c r="C85">
        <v>27</v>
      </c>
      <c r="D85" t="s">
        <v>36</v>
      </c>
      <c r="E85" t="s">
        <v>5</v>
      </c>
      <c r="F85" t="s">
        <v>2</v>
      </c>
      <c r="G85">
        <v>6.4964009999999996</v>
      </c>
      <c r="H85">
        <v>1.7807120000000001</v>
      </c>
      <c r="I85">
        <v>1.2807470000000001</v>
      </c>
      <c r="J85">
        <v>359.97160000000002</v>
      </c>
      <c r="K85">
        <v>80.600489999999994</v>
      </c>
      <c r="L85">
        <v>359.21449999999999</v>
      </c>
    </row>
    <row r="86" spans="1:12" x14ac:dyDescent="0.2">
      <c r="A86" s="1">
        <v>42958.475995370369</v>
      </c>
      <c r="B86">
        <v>1966.97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1.780959</v>
      </c>
      <c r="I86">
        <v>-4.117</v>
      </c>
      <c r="J86">
        <v>0.28834280000000001</v>
      </c>
      <c r="K86">
        <v>80.805350000000004</v>
      </c>
      <c r="L86">
        <v>359.21800000000002</v>
      </c>
    </row>
    <row r="87" spans="1:12" x14ac:dyDescent="0.2">
      <c r="A87" s="1">
        <v>42958.476030092592</v>
      </c>
      <c r="B87">
        <v>1970.2090000000001</v>
      </c>
      <c r="C87">
        <v>28</v>
      </c>
      <c r="D87" t="s">
        <v>35</v>
      </c>
      <c r="E87" t="s">
        <v>0</v>
      </c>
      <c r="F87" t="s">
        <v>1</v>
      </c>
      <c r="G87">
        <v>-0.9128349</v>
      </c>
      <c r="H87">
        <v>1.7576320000000001</v>
      </c>
      <c r="I87">
        <v>-4.0776779999999997</v>
      </c>
      <c r="J87">
        <v>8.0479280000000006</v>
      </c>
      <c r="K87">
        <v>25.538060000000002</v>
      </c>
      <c r="L87">
        <v>359.2713</v>
      </c>
    </row>
    <row r="88" spans="1:12" x14ac:dyDescent="0.2">
      <c r="A88" s="1">
        <v>42958.476921296293</v>
      </c>
      <c r="B88">
        <v>2047.075</v>
      </c>
      <c r="C88">
        <v>28</v>
      </c>
      <c r="D88" t="s">
        <v>36</v>
      </c>
      <c r="E88" t="s">
        <v>0</v>
      </c>
      <c r="F88" t="s">
        <v>1</v>
      </c>
      <c r="G88">
        <v>7.7473270000000003</v>
      </c>
      <c r="H88">
        <v>1.784241</v>
      </c>
      <c r="I88">
        <v>-18.043189999999999</v>
      </c>
      <c r="J88">
        <v>2.2885339999999998</v>
      </c>
      <c r="K88">
        <v>23.226710000000001</v>
      </c>
      <c r="L88">
        <v>358.54300000000001</v>
      </c>
    </row>
    <row r="89" spans="1:12" x14ac:dyDescent="0.2">
      <c r="A89" s="1">
        <v>42958.47693287037</v>
      </c>
      <c r="B89">
        <v>2048.2890000000002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1.788707</v>
      </c>
      <c r="I89">
        <v>-1.4059999999999999</v>
      </c>
      <c r="J89">
        <v>2.0166200000000001</v>
      </c>
      <c r="K89">
        <v>23.417919999999999</v>
      </c>
      <c r="L89">
        <v>357.90410000000003</v>
      </c>
    </row>
    <row r="90" spans="1:12" x14ac:dyDescent="0.2">
      <c r="A90" s="1">
        <v>42958.476990740739</v>
      </c>
      <c r="B90">
        <v>2052.9780000000001</v>
      </c>
      <c r="C90">
        <v>29</v>
      </c>
      <c r="D90" t="s">
        <v>35</v>
      </c>
      <c r="E90" t="s">
        <v>33</v>
      </c>
      <c r="F90" t="s">
        <v>3</v>
      </c>
      <c r="G90">
        <v>-4.0156080000000003</v>
      </c>
      <c r="H90">
        <v>1.778022</v>
      </c>
      <c r="I90">
        <v>-1.356231</v>
      </c>
      <c r="J90">
        <v>1.548211</v>
      </c>
      <c r="K90">
        <v>334.9126</v>
      </c>
      <c r="L90">
        <v>358.04349999999999</v>
      </c>
    </row>
    <row r="91" spans="1:12" x14ac:dyDescent="0.2">
      <c r="A91" s="1">
        <v>42958.478136574071</v>
      </c>
      <c r="B91">
        <v>2151.59</v>
      </c>
      <c r="C91">
        <v>29</v>
      </c>
      <c r="D91" t="s">
        <v>36</v>
      </c>
      <c r="E91" t="s">
        <v>33</v>
      </c>
      <c r="F91" t="s">
        <v>3</v>
      </c>
      <c r="G91">
        <v>11.377879999999999</v>
      </c>
      <c r="H91">
        <v>1.7801819999999999</v>
      </c>
      <c r="I91">
        <v>0.1010863</v>
      </c>
      <c r="J91">
        <v>8.0435630000000007</v>
      </c>
      <c r="K91">
        <v>330.82650000000001</v>
      </c>
      <c r="L91">
        <v>357.67020000000002</v>
      </c>
    </row>
    <row r="92" spans="1:12" x14ac:dyDescent="0.2">
      <c r="A92" s="1">
        <v>42958.478298611109</v>
      </c>
      <c r="B92">
        <v>2165.6590000000001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1.7737050000000001</v>
      </c>
      <c r="I92">
        <v>0.09</v>
      </c>
      <c r="J92">
        <v>1.5232570000000001</v>
      </c>
      <c r="K92">
        <v>312.96449999999999</v>
      </c>
      <c r="L92">
        <v>358.04450000000003</v>
      </c>
    </row>
    <row r="93" spans="1:12" x14ac:dyDescent="0.2">
      <c r="A93" s="1">
        <v>42958.478321759256</v>
      </c>
      <c r="B93">
        <v>2168.46</v>
      </c>
      <c r="C93">
        <v>30</v>
      </c>
      <c r="D93" t="s">
        <v>35</v>
      </c>
      <c r="E93" t="s">
        <v>6</v>
      </c>
      <c r="F93" t="s">
        <v>33</v>
      </c>
      <c r="G93">
        <v>-4.0996959999999998</v>
      </c>
      <c r="H93">
        <v>1.77389</v>
      </c>
      <c r="I93">
        <v>7.9149380000000005E-2</v>
      </c>
      <c r="J93">
        <v>1.2913669999999999</v>
      </c>
      <c r="K93">
        <v>318.18779999999998</v>
      </c>
      <c r="L93">
        <v>355.66410000000002</v>
      </c>
    </row>
    <row r="94" spans="1:12" x14ac:dyDescent="0.2">
      <c r="A94" s="1">
        <v>42958.47928240741</v>
      </c>
      <c r="B94">
        <v>2250.877</v>
      </c>
      <c r="C94">
        <v>30</v>
      </c>
      <c r="D94" t="s">
        <v>36</v>
      </c>
      <c r="E94" t="s">
        <v>6</v>
      </c>
      <c r="F94" t="s">
        <v>33</v>
      </c>
      <c r="G94">
        <v>-17.027920000000002</v>
      </c>
      <c r="H94">
        <v>1.774049</v>
      </c>
      <c r="I94">
        <v>9.5537200000000002</v>
      </c>
      <c r="J94">
        <v>3.9660299999999999</v>
      </c>
      <c r="K94">
        <v>215.90459999999999</v>
      </c>
      <c r="L94">
        <v>358.12830000000002</v>
      </c>
    </row>
    <row r="95" spans="1:12" x14ac:dyDescent="0.2">
      <c r="A95" s="1">
        <v>42958.47929398148</v>
      </c>
      <c r="B95">
        <v>2251.9229999999998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1.7730669999999999</v>
      </c>
      <c r="I95">
        <v>-4.3440000000000003</v>
      </c>
      <c r="J95">
        <v>4.1270579999999999</v>
      </c>
      <c r="K95">
        <v>215.33070000000001</v>
      </c>
      <c r="L95">
        <v>358.89389999999997</v>
      </c>
    </row>
    <row r="96" spans="1:12" x14ac:dyDescent="0.2">
      <c r="A96" s="1">
        <v>42958.479386574072</v>
      </c>
      <c r="B96">
        <v>2259.6640000000002</v>
      </c>
      <c r="C96">
        <v>31</v>
      </c>
      <c r="D96" t="s">
        <v>35</v>
      </c>
      <c r="E96" t="s">
        <v>2</v>
      </c>
      <c r="F96" t="s">
        <v>0</v>
      </c>
      <c r="G96">
        <v>3.5034860000000001</v>
      </c>
      <c r="H96">
        <v>1.7755019999999999</v>
      </c>
      <c r="I96">
        <v>-4.3862569999999996</v>
      </c>
      <c r="J96">
        <v>0.612182</v>
      </c>
      <c r="K96">
        <v>206.12020000000001</v>
      </c>
      <c r="L96">
        <v>358.15929999999997</v>
      </c>
    </row>
    <row r="97" spans="1:12" x14ac:dyDescent="0.2">
      <c r="A97" s="1">
        <v>42958.480081018519</v>
      </c>
      <c r="B97">
        <v>2319.5059999999999</v>
      </c>
      <c r="C97">
        <v>31</v>
      </c>
      <c r="D97" t="s">
        <v>36</v>
      </c>
      <c r="E97" t="s">
        <v>2</v>
      </c>
      <c r="F97" t="s">
        <v>0</v>
      </c>
      <c r="G97">
        <v>-10.854900000000001</v>
      </c>
      <c r="H97">
        <v>1.7759400000000001</v>
      </c>
      <c r="I97">
        <v>3.7475749999999999</v>
      </c>
      <c r="J97">
        <v>3.6640470000000001</v>
      </c>
      <c r="K97">
        <v>97.616560000000007</v>
      </c>
      <c r="L97">
        <v>359.33670000000001</v>
      </c>
    </row>
    <row r="98" spans="1:12" x14ac:dyDescent="0.2">
      <c r="A98" s="1">
        <v>42958.480092592596</v>
      </c>
      <c r="B98">
        <v>2320.8220000000001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1.7775650000000001</v>
      </c>
      <c r="I98">
        <v>1.8169999999999999</v>
      </c>
      <c r="J98">
        <v>2.009725</v>
      </c>
      <c r="K98">
        <v>98.153049999999993</v>
      </c>
      <c r="L98">
        <v>359.01220000000001</v>
      </c>
    </row>
    <row r="99" spans="1:12" x14ac:dyDescent="0.2">
      <c r="A99" s="1">
        <v>42958.480115740742</v>
      </c>
      <c r="B99">
        <v>2322.491</v>
      </c>
      <c r="C99">
        <v>32</v>
      </c>
      <c r="D99" t="s">
        <v>35</v>
      </c>
      <c r="E99" t="s">
        <v>3</v>
      </c>
      <c r="F99" t="s">
        <v>4</v>
      </c>
      <c r="G99">
        <v>3.366606</v>
      </c>
      <c r="H99">
        <v>1.7689239999999999</v>
      </c>
      <c r="I99">
        <v>1.8540049999999999</v>
      </c>
      <c r="J99">
        <v>7.0475159999999999</v>
      </c>
      <c r="K99">
        <v>105.6754</v>
      </c>
      <c r="L99">
        <v>357.62040000000002</v>
      </c>
    </row>
    <row r="100" spans="1:12" x14ac:dyDescent="0.2">
      <c r="A100" s="1">
        <v>42958.480914351851</v>
      </c>
      <c r="B100">
        <v>2392.2759999999998</v>
      </c>
      <c r="C100">
        <v>32</v>
      </c>
      <c r="D100" t="s">
        <v>36</v>
      </c>
      <c r="E100" t="s">
        <v>3</v>
      </c>
      <c r="F100" t="s">
        <v>4</v>
      </c>
      <c r="G100">
        <v>-12.106350000000001</v>
      </c>
      <c r="H100">
        <v>1.780057</v>
      </c>
      <c r="I100">
        <v>-8.0364509999999996</v>
      </c>
      <c r="J100">
        <v>6.0583689999999999</v>
      </c>
      <c r="K100">
        <v>78.980379999999997</v>
      </c>
      <c r="L100">
        <v>358.51929999999999</v>
      </c>
    </row>
    <row r="101" spans="1:12" x14ac:dyDescent="0.2">
      <c r="A101" s="1">
        <v>42958.480937499997</v>
      </c>
      <c r="B101">
        <v>2393.4059999999999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1.7818929999999999</v>
      </c>
      <c r="I101">
        <v>0.09</v>
      </c>
      <c r="J101">
        <v>4.9868379999999997</v>
      </c>
      <c r="K101">
        <v>79.650379999999998</v>
      </c>
      <c r="L101">
        <v>357.8134</v>
      </c>
    </row>
    <row r="102" spans="1:12" x14ac:dyDescent="0.2">
      <c r="A102" s="1">
        <v>42958.481006944443</v>
      </c>
      <c r="B102">
        <v>2399.5300000000002</v>
      </c>
      <c r="C102">
        <v>33</v>
      </c>
      <c r="D102" t="s">
        <v>35</v>
      </c>
      <c r="E102" t="s">
        <v>6</v>
      </c>
      <c r="F102" t="s">
        <v>33</v>
      </c>
      <c r="G102">
        <v>-4.1585549999999998</v>
      </c>
      <c r="H102">
        <v>1.7765709999999999</v>
      </c>
      <c r="I102">
        <v>0.1072864</v>
      </c>
      <c r="J102">
        <v>1.660812</v>
      </c>
      <c r="K102">
        <v>133.90600000000001</v>
      </c>
      <c r="L102">
        <v>357.07850000000002</v>
      </c>
    </row>
    <row r="103" spans="1:12" x14ac:dyDescent="0.2">
      <c r="A103" s="1">
        <v>42958.481666666667</v>
      </c>
      <c r="B103">
        <v>2456.5810000000001</v>
      </c>
      <c r="C103">
        <v>33</v>
      </c>
      <c r="D103" t="s">
        <v>36</v>
      </c>
      <c r="E103" t="s">
        <v>6</v>
      </c>
      <c r="F103" t="s">
        <v>33</v>
      </c>
      <c r="G103">
        <v>-2.7132499999999999</v>
      </c>
      <c r="H103">
        <v>1.7946949999999999</v>
      </c>
      <c r="I103">
        <v>17.12848</v>
      </c>
      <c r="J103">
        <v>3.2758590000000001</v>
      </c>
      <c r="K103">
        <v>54.191279999999999</v>
      </c>
      <c r="L103">
        <v>357.51870000000002</v>
      </c>
    </row>
    <row r="104" spans="1:12" x14ac:dyDescent="0.2">
      <c r="A104" s="1">
        <v>42958.481678240743</v>
      </c>
      <c r="B104">
        <v>2458.0830000000001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1.7861050000000001</v>
      </c>
      <c r="I104">
        <v>-0.67300000000000004</v>
      </c>
      <c r="J104">
        <v>2.8462610000000002</v>
      </c>
      <c r="K104">
        <v>56.26746</v>
      </c>
      <c r="L104">
        <v>358.03879999999998</v>
      </c>
    </row>
    <row r="105" spans="1:12" x14ac:dyDescent="0.2">
      <c r="A105" s="1">
        <v>42958.481759259259</v>
      </c>
      <c r="B105">
        <v>2464.5430000000001</v>
      </c>
      <c r="C105">
        <v>34</v>
      </c>
      <c r="D105" t="s">
        <v>35</v>
      </c>
      <c r="E105" t="s">
        <v>4</v>
      </c>
      <c r="F105" t="s">
        <v>6</v>
      </c>
      <c r="G105">
        <v>4.0636400000000004</v>
      </c>
      <c r="H105">
        <v>1.7857860000000001</v>
      </c>
      <c r="I105">
        <v>-0.77575959999999999</v>
      </c>
      <c r="J105">
        <v>355.36009999999999</v>
      </c>
      <c r="K105">
        <v>15.312860000000001</v>
      </c>
      <c r="L105">
        <v>356.25580000000002</v>
      </c>
    </row>
    <row r="106" spans="1:12" x14ac:dyDescent="0.2">
      <c r="A106" s="1">
        <v>42958.482766203706</v>
      </c>
      <c r="B106">
        <v>2551.3069999999998</v>
      </c>
      <c r="C106">
        <v>34</v>
      </c>
      <c r="D106" t="s">
        <v>36</v>
      </c>
      <c r="E106" t="s">
        <v>4</v>
      </c>
      <c r="F106" t="s">
        <v>6</v>
      </c>
      <c r="G106">
        <v>-8.4677000000000007</v>
      </c>
      <c r="H106">
        <v>1.7723070000000001</v>
      </c>
      <c r="I106">
        <v>-5.182963</v>
      </c>
      <c r="J106">
        <v>4.4745739999999996</v>
      </c>
      <c r="K106">
        <v>207.66399999999999</v>
      </c>
      <c r="L106">
        <v>354.92430000000002</v>
      </c>
    </row>
    <row r="107" spans="1:12" x14ac:dyDescent="0.2">
      <c r="A107" s="1">
        <v>42958.482777777775</v>
      </c>
      <c r="B107">
        <v>2553.0610000000001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1.7719210000000001</v>
      </c>
      <c r="I107">
        <v>2.7240000000000002</v>
      </c>
      <c r="J107">
        <v>4.3540929999999998</v>
      </c>
      <c r="K107">
        <v>204.166</v>
      </c>
      <c r="L107">
        <v>357.91539999999998</v>
      </c>
    </row>
    <row r="108" spans="1:12" x14ac:dyDescent="0.2">
      <c r="A108" s="1">
        <v>42958.482847222222</v>
      </c>
      <c r="B108">
        <v>2558.4409999999998</v>
      </c>
      <c r="C108">
        <v>35</v>
      </c>
      <c r="D108" t="s">
        <v>35</v>
      </c>
      <c r="E108" t="s">
        <v>5</v>
      </c>
      <c r="F108" t="s">
        <v>2</v>
      </c>
      <c r="G108">
        <v>-9.0843940000000008E-3</v>
      </c>
      <c r="H108">
        <v>1.7703660000000001</v>
      </c>
      <c r="I108">
        <v>2.7918050000000001</v>
      </c>
      <c r="J108">
        <v>2.813866</v>
      </c>
      <c r="K108">
        <v>124.35169999999999</v>
      </c>
      <c r="L108">
        <v>354.84219999999999</v>
      </c>
    </row>
    <row r="109" spans="1:12" x14ac:dyDescent="0.2">
      <c r="A109" s="1">
        <v>42958.483518518522</v>
      </c>
      <c r="B109">
        <v>2617.1819999999998</v>
      </c>
      <c r="C109">
        <v>35</v>
      </c>
      <c r="D109" t="s">
        <v>36</v>
      </c>
      <c r="E109" t="s">
        <v>5</v>
      </c>
      <c r="F109" t="s">
        <v>2</v>
      </c>
      <c r="G109">
        <v>6.5872950000000001</v>
      </c>
      <c r="H109">
        <v>1.784043</v>
      </c>
      <c r="I109">
        <v>9.0236640000000001</v>
      </c>
      <c r="J109">
        <v>358.27120000000002</v>
      </c>
      <c r="K109">
        <v>91.236500000000007</v>
      </c>
      <c r="L109">
        <v>355.9135</v>
      </c>
    </row>
    <row r="110" spans="1:12" x14ac:dyDescent="0.2">
      <c r="A110" s="1">
        <v>42958.483541666668</v>
      </c>
      <c r="B110">
        <v>2618.5309999999999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1.7804139999999999</v>
      </c>
      <c r="I110">
        <v>1.8169999999999999</v>
      </c>
      <c r="J110">
        <v>359.75400000000002</v>
      </c>
      <c r="K110">
        <v>96.086389999999994</v>
      </c>
      <c r="L110">
        <v>358.91210000000001</v>
      </c>
    </row>
    <row r="111" spans="1:12" x14ac:dyDescent="0.2">
      <c r="A111" s="1">
        <v>42958.483611111114</v>
      </c>
      <c r="B111">
        <v>2625.192</v>
      </c>
      <c r="C111">
        <v>36</v>
      </c>
      <c r="D111" t="s">
        <v>35</v>
      </c>
      <c r="E111" t="s">
        <v>3</v>
      </c>
      <c r="F111" t="s">
        <v>4</v>
      </c>
      <c r="G111">
        <v>3.3138730000000001</v>
      </c>
      <c r="H111">
        <v>1.787647</v>
      </c>
      <c r="I111">
        <v>1.7653909999999999</v>
      </c>
      <c r="J111">
        <v>355.6583</v>
      </c>
      <c r="K111">
        <v>102.9571</v>
      </c>
      <c r="L111">
        <v>351.2998</v>
      </c>
    </row>
    <row r="112" spans="1:12" x14ac:dyDescent="0.2">
      <c r="A112" s="1">
        <v>42958.48364583333</v>
      </c>
      <c r="B112">
        <v>2628.1439999999998</v>
      </c>
      <c r="C112">
        <v>36</v>
      </c>
      <c r="D112" t="s">
        <v>36</v>
      </c>
      <c r="E112" t="s">
        <v>3</v>
      </c>
      <c r="F112" t="s">
        <v>4</v>
      </c>
      <c r="G112">
        <v>3.3898649999999999</v>
      </c>
      <c r="H112">
        <v>1.7883439999999999</v>
      </c>
      <c r="I112">
        <v>1.8079769999999999</v>
      </c>
      <c r="J112">
        <v>350.27769999999998</v>
      </c>
      <c r="K112">
        <v>96.005030000000005</v>
      </c>
      <c r="L112">
        <v>353.9769</v>
      </c>
    </row>
    <row r="113" spans="1:12" x14ac:dyDescent="0.2">
      <c r="A113" s="1">
        <v>42958.483969907407</v>
      </c>
      <c r="B113">
        <v>2656.1419999999998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1.79128</v>
      </c>
      <c r="I113">
        <v>0.09</v>
      </c>
      <c r="J113">
        <v>2.852115</v>
      </c>
      <c r="K113">
        <v>14.7845</v>
      </c>
      <c r="L113">
        <v>358.13869999999997</v>
      </c>
    </row>
    <row r="114" spans="1:12" x14ac:dyDescent="0.2">
      <c r="A114" s="1">
        <v>42958.4840625</v>
      </c>
      <c r="B114">
        <v>2663.817</v>
      </c>
      <c r="C114">
        <v>37</v>
      </c>
      <c r="D114" t="s">
        <v>35</v>
      </c>
      <c r="E114" t="s">
        <v>6</v>
      </c>
      <c r="F114" t="s">
        <v>33</v>
      </c>
      <c r="G114">
        <v>-4.1593989999999996</v>
      </c>
      <c r="H114">
        <v>1.777471</v>
      </c>
      <c r="I114">
        <v>0.2145108</v>
      </c>
      <c r="J114">
        <v>1.083199</v>
      </c>
      <c r="K114">
        <v>319.65769999999998</v>
      </c>
      <c r="L114">
        <v>354.34350000000001</v>
      </c>
    </row>
    <row r="115" spans="1:12" x14ac:dyDescent="0.2">
      <c r="A115" s="1">
        <v>42958.484583333331</v>
      </c>
      <c r="B115">
        <v>2708.5189999999998</v>
      </c>
      <c r="C115">
        <v>37</v>
      </c>
      <c r="D115" t="s">
        <v>36</v>
      </c>
      <c r="E115" t="s">
        <v>6</v>
      </c>
      <c r="F115" t="s">
        <v>33</v>
      </c>
      <c r="G115">
        <v>0.12746189999999999</v>
      </c>
      <c r="H115">
        <v>1.7842070000000001</v>
      </c>
      <c r="I115">
        <v>13.443099999999999</v>
      </c>
      <c r="J115">
        <v>4.0750729999999997</v>
      </c>
      <c r="K115">
        <v>69.50873</v>
      </c>
      <c r="L115">
        <v>358.71660000000003</v>
      </c>
    </row>
    <row r="116" spans="1:12" x14ac:dyDescent="0.2">
      <c r="A116" s="1">
        <v>42958.484594907408</v>
      </c>
      <c r="B116">
        <v>2709.547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1.7835570000000001</v>
      </c>
      <c r="I116">
        <v>-4.3440000000000003</v>
      </c>
      <c r="J116">
        <v>2.8940100000000002</v>
      </c>
      <c r="K116">
        <v>70.721890000000002</v>
      </c>
      <c r="L116">
        <v>359.23759999999999</v>
      </c>
    </row>
    <row r="117" spans="1:12" x14ac:dyDescent="0.2">
      <c r="A117" s="1">
        <v>42958.4846875</v>
      </c>
      <c r="B117">
        <v>2717.9969999999998</v>
      </c>
      <c r="C117">
        <v>38</v>
      </c>
      <c r="D117" t="s">
        <v>35</v>
      </c>
      <c r="E117" t="s">
        <v>2</v>
      </c>
      <c r="F117" t="s">
        <v>0</v>
      </c>
      <c r="G117">
        <v>3.5211610000000002</v>
      </c>
      <c r="H117">
        <v>1.7928249999999999</v>
      </c>
      <c r="I117">
        <v>-4.3777990000000004</v>
      </c>
      <c r="J117">
        <v>358.41059999999999</v>
      </c>
      <c r="K117">
        <v>74.499650000000003</v>
      </c>
      <c r="L117">
        <v>356.61380000000003</v>
      </c>
    </row>
    <row r="118" spans="1:12" x14ac:dyDescent="0.2">
      <c r="A118" s="1">
        <v>42958.485254629632</v>
      </c>
      <c r="B118">
        <v>2766.422</v>
      </c>
      <c r="C118">
        <v>38</v>
      </c>
      <c r="D118" t="s">
        <v>36</v>
      </c>
      <c r="E118" t="s">
        <v>2</v>
      </c>
      <c r="F118" t="s">
        <v>0</v>
      </c>
      <c r="G118">
        <v>-8.2341680000000004</v>
      </c>
      <c r="H118">
        <v>1.7691760000000001</v>
      </c>
      <c r="I118">
        <v>1.2613160000000001</v>
      </c>
      <c r="J118">
        <v>7.281523</v>
      </c>
      <c r="K118">
        <v>125.7017</v>
      </c>
      <c r="L118">
        <v>-4.1955559999999996E-3</v>
      </c>
    </row>
    <row r="119" spans="1:12" x14ac:dyDescent="0.2">
      <c r="A119" s="1">
        <v>42958.485266203701</v>
      </c>
      <c r="B119">
        <v>2767.451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1.768769</v>
      </c>
      <c r="I119">
        <v>4.1399999999999997</v>
      </c>
      <c r="J119">
        <v>5.8834669999999996</v>
      </c>
      <c r="K119">
        <v>125.3702</v>
      </c>
      <c r="L119">
        <v>358.9735</v>
      </c>
    </row>
    <row r="120" spans="1:12" x14ac:dyDescent="0.2">
      <c r="A120" s="1">
        <v>42958.485324074078</v>
      </c>
      <c r="B120">
        <v>2773.1689999999999</v>
      </c>
      <c r="C120">
        <v>39</v>
      </c>
      <c r="D120" t="s">
        <v>35</v>
      </c>
      <c r="E120" t="s">
        <v>1</v>
      </c>
      <c r="F120" t="s">
        <v>5</v>
      </c>
      <c r="G120">
        <v>-4.0398259999999997</v>
      </c>
      <c r="H120">
        <v>1.7813680000000001</v>
      </c>
      <c r="I120">
        <v>4.147837</v>
      </c>
      <c r="J120">
        <v>355.77379999999999</v>
      </c>
      <c r="K120">
        <v>140.69479999999999</v>
      </c>
      <c r="L120">
        <v>355.90109999999999</v>
      </c>
    </row>
    <row r="121" spans="1:12" x14ac:dyDescent="0.2">
      <c r="A121" s="1">
        <v>42958.485972222225</v>
      </c>
      <c r="B121">
        <v>2828.5160000000001</v>
      </c>
      <c r="C121">
        <v>39</v>
      </c>
      <c r="D121" t="s">
        <v>36</v>
      </c>
      <c r="E121" t="s">
        <v>1</v>
      </c>
      <c r="F121" t="s">
        <v>5</v>
      </c>
      <c r="G121">
        <v>-6.0827629999999999</v>
      </c>
      <c r="H121">
        <v>1.767387</v>
      </c>
      <c r="I121">
        <v>-8.4332200000000004</v>
      </c>
      <c r="J121">
        <v>10.284829999999999</v>
      </c>
      <c r="K121">
        <v>207.60769999999999</v>
      </c>
      <c r="L121">
        <v>0.82586930000000003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/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H42" sqref="H42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(40)'!$C$2:$L$247,3,0)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(40)'!$C$2:$L$247,5,1)</f>
        <v>6.3191940000000004</v>
      </c>
      <c r="G2" s="3">
        <f>VLOOKUP($A2,'Summary Data (40)'!$C$2:$L$247,6,1)</f>
        <v>1.775299</v>
      </c>
      <c r="H2" s="3">
        <f>VLOOKUP($A2,'Summary Data (40)'!$C$2:$L$247,7,1)</f>
        <v>1.072875</v>
      </c>
      <c r="I2" s="3" t="str">
        <f>VLOOKUP($A2,'Summary Data (40)'!$C$2:$L$247,4,0)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8.8505449055558714</v>
      </c>
      <c r="N2" s="3">
        <f t="shared" ref="N2:N41" si="1">ABS(SQRT((F2-C2)^2+(H2-E2)^2))</f>
        <v>6.0992156354125573</v>
      </c>
      <c r="O2" s="3">
        <f t="shared" ref="O2:O41" si="2">ABS(SQRT((J2-C2)^2+(L2-E2)^2))</f>
        <v>4.3718971854333439</v>
      </c>
      <c r="P2" s="3">
        <f t="shared" ref="P2:P41" si="3">(N2-O2)</f>
        <v>1.7273184499792134</v>
      </c>
      <c r="Q2" s="5">
        <f t="shared" ref="Q2:Q41" si="4">P2/O2</f>
        <v>0.39509585351971194</v>
      </c>
      <c r="R2" s="3">
        <f t="shared" ref="R2:R41" si="5">ATAN2(J2-C2,L2-E2)*180/PI()</f>
        <v>177.02371934116897</v>
      </c>
      <c r="S2" s="3">
        <f t="shared" ref="S2:S41" si="6">ATAN2(F2-C2,H2-E2)*180/PI()</f>
        <v>62.63875899238441</v>
      </c>
      <c r="T2" s="3">
        <f t="shared" ref="T2:T41" si="7">IF(ABS(R2-S2)&gt;180,360-ABS(R2-S2),ABS(R2-S2))</f>
        <v>114.38496034878456</v>
      </c>
      <c r="U2" s="3">
        <f>VLOOKUP($A2,'Summary Data (40)'!$C$2:$N$247,11,0)</f>
        <v>0</v>
      </c>
      <c r="V2" s="3">
        <f>VLOOKUP($A2,'Summary Data (40)'!$C$2:$N$247,12,1)</f>
        <v>0</v>
      </c>
      <c r="W2" s="3">
        <f>VLOOKUP($A2,'Summary Data (40)'!$C$2:$N$247,11,1)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(40)'!$C$2:$L$247,3,0)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(40)'!$C$2:$L$247,5,1)</f>
        <v>-5.9482160000000004</v>
      </c>
      <c r="G3" s="3">
        <f>VLOOKUP($A3,'Summary Data (40)'!$C$2:$L$247,6,1)</f>
        <v>1.779998</v>
      </c>
      <c r="H3" s="3">
        <f>VLOOKUP($A3,'Summary Data (40)'!$C$2:$L$247,7,1)</f>
        <v>-10.83084</v>
      </c>
      <c r="I3" s="3" t="str">
        <f>VLOOKUP($A3,'Summary Data (40)'!$C$2:$L$247,4,0)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11.473904203899213</v>
      </c>
      <c r="N3" s="3">
        <f t="shared" si="1"/>
        <v>14.808968901319769</v>
      </c>
      <c r="O3" s="3">
        <f t="shared" si="2"/>
        <v>7.8871175977032326</v>
      </c>
      <c r="P3" s="3">
        <f t="shared" si="3"/>
        <v>6.9218513036165366</v>
      </c>
      <c r="Q3" s="5">
        <f t="shared" si="4"/>
        <v>0.87761482162155335</v>
      </c>
      <c r="R3" s="3">
        <f t="shared" si="5"/>
        <v>-63.65586590726528</v>
      </c>
      <c r="S3" s="3">
        <f t="shared" si="6"/>
        <v>-113.74980046519325</v>
      </c>
      <c r="T3" s="3">
        <f t="shared" si="7"/>
        <v>50.093934557927966</v>
      </c>
      <c r="U3" s="3">
        <f>VLOOKUP($A3,'Summary Data (40)'!$C$2:$N$247,11,0)</f>
        <v>0</v>
      </c>
      <c r="V3" s="3">
        <f>VLOOKUP($A3,'Summary Data (40)'!$C$2:$N$247,12,1)</f>
        <v>0</v>
      </c>
      <c r="W3" s="3">
        <f>VLOOKUP($A3,'Summary Data (40)'!$C$2:$N$247,11,1)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(40)'!$C$2:$L$247,3,0)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(40)'!$C$2:$L$247,5,1)</f>
        <v>-3.360144</v>
      </c>
      <c r="G4" s="3">
        <f>VLOOKUP($A4,'Summary Data (40)'!$C$2:$L$247,6,1)</f>
        <v>1.7773429999999999</v>
      </c>
      <c r="H4" s="3">
        <f>VLOOKUP($A4,'Summary Data (40)'!$C$2:$L$247,7,1)</f>
        <v>-7.30924</v>
      </c>
      <c r="I4" s="3" t="str">
        <f>VLOOKUP($A4,'Summary Data (40)'!$C$2:$L$247,4,0)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11.341229415823314</v>
      </c>
      <c r="N4" s="3">
        <f t="shared" si="1"/>
        <v>5.935798570566222</v>
      </c>
      <c r="O4" s="3">
        <f t="shared" si="2"/>
        <v>8.0292617967033557</v>
      </c>
      <c r="P4" s="3">
        <f t="shared" si="3"/>
        <v>-2.0934632261371338</v>
      </c>
      <c r="Q4" s="5">
        <f t="shared" si="4"/>
        <v>-0.26072922756070366</v>
      </c>
      <c r="R4" s="3">
        <f t="shared" si="5"/>
        <v>23.666151625811782</v>
      </c>
      <c r="S4" s="3">
        <f t="shared" si="6"/>
        <v>-83.996155566256959</v>
      </c>
      <c r="T4" s="3">
        <f t="shared" si="7"/>
        <v>107.66230719206874</v>
      </c>
      <c r="U4" s="3">
        <f>VLOOKUP($A4,'Summary Data (40)'!$C$2:$N$247,11,0)</f>
        <v>0</v>
      </c>
      <c r="V4" s="3">
        <f>VLOOKUP($A4,'Summary Data (40)'!$C$2:$N$247,12,1)</f>
        <v>0</v>
      </c>
      <c r="W4" s="3">
        <f>VLOOKUP($A4,'Summary Data (40)'!$C$2:$N$247,11,1)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(40)'!$C$2:$L$247,3,0)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(40)'!$C$2:$L$247,5,1)</f>
        <v>7.9999260000000003</v>
      </c>
      <c r="G5" s="3">
        <f>VLOOKUP($A5,'Summary Data (40)'!$C$2:$L$247,6,1)</f>
        <v>1.7887459999999999</v>
      </c>
      <c r="H5" s="3">
        <f>VLOOKUP($A5,'Summary Data (40)'!$C$2:$L$247,7,1)</f>
        <v>12.865790000000001</v>
      </c>
      <c r="I5" s="3" t="str">
        <f>VLOOKUP($A5,'Summary Data (40)'!$C$2:$L$247,4,0)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14.901002128634705</v>
      </c>
      <c r="N5" s="3">
        <f t="shared" si="1"/>
        <v>19.150361521119542</v>
      </c>
      <c r="O5" s="3">
        <f t="shared" si="2"/>
        <v>8.8659173242253964</v>
      </c>
      <c r="P5" s="3">
        <f t="shared" si="3"/>
        <v>10.284444196894146</v>
      </c>
      <c r="Q5" s="5">
        <f t="shared" si="4"/>
        <v>1.1599977555388139</v>
      </c>
      <c r="R5" s="3">
        <f t="shared" si="5"/>
        <v>111.35858600069317</v>
      </c>
      <c r="S5" s="3">
        <f t="shared" si="6"/>
        <v>62.47546499306555</v>
      </c>
      <c r="T5" s="3">
        <f t="shared" si="7"/>
        <v>48.883121007627615</v>
      </c>
      <c r="U5" s="3">
        <f>VLOOKUP($A5,'Summary Data (40)'!$C$2:$N$247,11,0)</f>
        <v>0</v>
      </c>
      <c r="V5" s="3">
        <f>VLOOKUP($A5,'Summary Data (40)'!$C$2:$N$247,12,1)</f>
        <v>0</v>
      </c>
      <c r="W5" s="3">
        <f>VLOOKUP($A5,'Summary Data (40)'!$C$2:$N$247,11,1)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(40)'!$C$2:$L$247,3,0)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(40)'!$C$2:$L$247,5,1)</f>
        <v>-4.5418469999999997</v>
      </c>
      <c r="G6" s="3">
        <f>VLOOKUP($A6,'Summary Data (40)'!$C$2:$L$247,6,1)</f>
        <v>1.792891</v>
      </c>
      <c r="H6" s="3">
        <f>VLOOKUP($A6,'Summary Data (40)'!$C$2:$L$247,7,1)</f>
        <v>10.104810000000001</v>
      </c>
      <c r="I6" s="3" t="str">
        <f>VLOOKUP($A6,'Summary Data (40)'!$C$2:$L$247,4,0)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13.701467062307927</v>
      </c>
      <c r="N6" s="3">
        <f t="shared" si="1"/>
        <v>11.460043526510228</v>
      </c>
      <c r="O6" s="3">
        <f t="shared" si="2"/>
        <v>2.5489458605470614</v>
      </c>
      <c r="P6" s="3">
        <f t="shared" si="3"/>
        <v>8.9110976659631671</v>
      </c>
      <c r="Q6" s="5">
        <f t="shared" si="4"/>
        <v>3.4959933060526613</v>
      </c>
      <c r="R6" s="3">
        <f t="shared" si="5"/>
        <v>-77.654050540796021</v>
      </c>
      <c r="S6" s="3">
        <f t="shared" si="6"/>
        <v>133.68136239610635</v>
      </c>
      <c r="T6" s="3">
        <f t="shared" si="7"/>
        <v>148.66458706309763</v>
      </c>
      <c r="U6" s="3">
        <f>VLOOKUP($A6,'Summary Data (40)'!$C$2:$N$247,11,0)</f>
        <v>0</v>
      </c>
      <c r="V6" s="3">
        <f>VLOOKUP($A6,'Summary Data (40)'!$C$2:$N$247,12,1)</f>
        <v>0</v>
      </c>
      <c r="W6" s="3">
        <f>VLOOKUP($A6,'Summary Data (40)'!$C$2:$N$247,11,1)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(40)'!$C$2:$L$247,3,0)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(40)'!$C$2:$L$247,5,1)</f>
        <v>17.82319</v>
      </c>
      <c r="G7" s="3">
        <f>VLOOKUP($A7,'Summary Data (40)'!$C$2:$L$247,6,1)</f>
        <v>1.7779229999999999</v>
      </c>
      <c r="H7" s="3">
        <f>VLOOKUP($A7,'Summary Data (40)'!$C$2:$L$247,7,1)</f>
        <v>-12.65516</v>
      </c>
      <c r="I7" s="3" t="str">
        <f>VLOOKUP($A7,'Summary Data (40)'!$C$2:$L$247,4,0)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20.532613106024769</v>
      </c>
      <c r="N7" s="3">
        <f t="shared" si="1"/>
        <v>16.546028715123761</v>
      </c>
      <c r="O7" s="3">
        <f t="shared" si="2"/>
        <v>4.3718971854333439</v>
      </c>
      <c r="P7" s="3">
        <f t="shared" si="3"/>
        <v>12.174131529690417</v>
      </c>
      <c r="Q7" s="5">
        <f t="shared" si="4"/>
        <v>2.7846335385592358</v>
      </c>
      <c r="R7" s="3">
        <f t="shared" si="5"/>
        <v>177.02371934116897</v>
      </c>
      <c r="S7" s="3">
        <f t="shared" si="6"/>
        <v>-30.152643320514677</v>
      </c>
      <c r="T7" s="3">
        <f t="shared" si="7"/>
        <v>152.82363733831636</v>
      </c>
      <c r="U7" s="3">
        <f>VLOOKUP($A7,'Summary Data (40)'!$C$2:$N$247,11,0)</f>
        <v>0</v>
      </c>
      <c r="V7" s="3">
        <f>VLOOKUP($A7,'Summary Data (40)'!$C$2:$N$247,12,1)</f>
        <v>0</v>
      </c>
      <c r="W7" s="3">
        <f>VLOOKUP($A7,'Summary Data (40)'!$C$2:$N$247,11,1)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(40)'!$C$2:$L$247,3,0)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(40)'!$C$2:$L$247,5,1)</f>
        <v>13.31264</v>
      </c>
      <c r="G8" s="3">
        <f>VLOOKUP($A8,'Summary Data (40)'!$C$2:$L$247,6,1)</f>
        <v>1.78582</v>
      </c>
      <c r="H8" s="3">
        <f>VLOOKUP($A8,'Summary Data (40)'!$C$2:$L$247,7,1)</f>
        <v>-15.7928</v>
      </c>
      <c r="I8" s="3" t="str">
        <f>VLOOKUP($A8,'Summary Data (40)'!$C$2:$L$247,4,0)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22.495555087385597</v>
      </c>
      <c r="N8" s="3">
        <f t="shared" si="1"/>
        <v>23.575659490449045</v>
      </c>
      <c r="O8" s="3">
        <f t="shared" si="2"/>
        <v>1.5015515309172709</v>
      </c>
      <c r="P8" s="3">
        <f t="shared" si="3"/>
        <v>22.074107959531773</v>
      </c>
      <c r="Q8" s="5">
        <f t="shared" si="4"/>
        <v>14.700866074204656</v>
      </c>
      <c r="R8" s="3">
        <f t="shared" si="5"/>
        <v>-85.071579131103505</v>
      </c>
      <c r="S8" s="3">
        <f t="shared" si="6"/>
        <v>-42.352878381591182</v>
      </c>
      <c r="T8" s="3">
        <f t="shared" si="7"/>
        <v>42.718700749512323</v>
      </c>
      <c r="U8" s="3">
        <f>VLOOKUP($A8,'Summary Data (40)'!$C$2:$N$247,11,0)</f>
        <v>0</v>
      </c>
      <c r="V8" s="3">
        <f>VLOOKUP($A8,'Summary Data (40)'!$C$2:$N$247,12,1)</f>
        <v>0</v>
      </c>
      <c r="W8" s="3">
        <f>VLOOKUP($A8,'Summary Data (40)'!$C$2:$N$247,11,1)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(40)'!$C$2:$L$247,3,0)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(40)'!$C$2:$L$247,5,1)</f>
        <v>-5.2809080000000002</v>
      </c>
      <c r="G9" s="3">
        <f>VLOOKUP($A9,'Summary Data (40)'!$C$2:$L$247,6,1)</f>
        <v>1.7833730000000001</v>
      </c>
      <c r="H9" s="3">
        <f>VLOOKUP($A9,'Summary Data (40)'!$C$2:$L$247,7,1)</f>
        <v>18.798439999999999</v>
      </c>
      <c r="I9" s="3" t="str">
        <f>VLOOKUP($A9,'Summary Data (40)'!$C$2:$L$247,4,0)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14.707632238877336</v>
      </c>
      <c r="N9" s="3">
        <f t="shared" si="1"/>
        <v>23.339887234047726</v>
      </c>
      <c r="O9" s="3">
        <f t="shared" si="2"/>
        <v>8.8659173242253964</v>
      </c>
      <c r="P9" s="3">
        <f t="shared" si="3"/>
        <v>14.47396990982233</v>
      </c>
      <c r="Q9" s="5">
        <f t="shared" si="4"/>
        <v>1.6325405911775634</v>
      </c>
      <c r="R9" s="3">
        <f t="shared" si="5"/>
        <v>111.35858600069317</v>
      </c>
      <c r="S9" s="3">
        <f t="shared" si="6"/>
        <v>100.94360647054242</v>
      </c>
      <c r="T9" s="3">
        <f t="shared" si="7"/>
        <v>10.414979530150745</v>
      </c>
      <c r="U9" s="3">
        <f>VLOOKUP($A9,'Summary Data (40)'!$C$2:$N$247,11,0)</f>
        <v>0</v>
      </c>
      <c r="V9" s="3">
        <f>VLOOKUP($A9,'Summary Data (40)'!$C$2:$N$247,12,1)</f>
        <v>0</v>
      </c>
      <c r="W9" s="3">
        <f>VLOOKUP($A9,'Summary Data (40)'!$C$2:$N$247,11,1)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(40)'!$C$2:$L$247,3,0)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(40)'!$C$2:$L$247,5,1)</f>
        <v>-5.6330640000000001</v>
      </c>
      <c r="G10" s="3">
        <f>VLOOKUP($A10,'Summary Data (40)'!$C$2:$L$247,6,1)</f>
        <v>1.791885</v>
      </c>
      <c r="H10" s="3">
        <f>VLOOKUP($A10,'Summary Data (40)'!$C$2:$L$247,7,1)</f>
        <v>-13.132149999999999</v>
      </c>
      <c r="I10" s="3" t="str">
        <f>VLOOKUP($A10,'Summary Data (40)'!$C$2:$L$247,4,0)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12.686092877580393</v>
      </c>
      <c r="N10" s="3">
        <f t="shared" si="1"/>
        <v>16.832391894754469</v>
      </c>
      <c r="O10" s="3">
        <f t="shared" si="2"/>
        <v>7.8871175977032326</v>
      </c>
      <c r="P10" s="3">
        <f t="shared" si="3"/>
        <v>8.9452742970512364</v>
      </c>
      <c r="Q10" s="5">
        <f t="shared" si="4"/>
        <v>1.1341626628790402</v>
      </c>
      <c r="R10" s="3">
        <f t="shared" si="5"/>
        <v>-63.65586590726528</v>
      </c>
      <c r="S10" s="3">
        <f t="shared" si="6"/>
        <v>-109.60943709090211</v>
      </c>
      <c r="T10" s="3">
        <f t="shared" si="7"/>
        <v>45.953571183636825</v>
      </c>
      <c r="U10" s="3">
        <f>VLOOKUP($A10,'Summary Data (40)'!$C$2:$N$247,11,0)</f>
        <v>0</v>
      </c>
      <c r="V10" s="3">
        <f>VLOOKUP($A10,'Summary Data (40)'!$C$2:$N$247,12,1)</f>
        <v>0</v>
      </c>
      <c r="W10" s="3">
        <f>VLOOKUP($A10,'Summary Data (40)'!$C$2:$N$247,11,1)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(40)'!$C$2:$L$247,3,0)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(40)'!$C$2:$L$247,5,1)</f>
        <v>18.014199999999999</v>
      </c>
      <c r="G11" s="3">
        <f>VLOOKUP($A11,'Summary Data (40)'!$C$2:$L$247,6,1)</f>
        <v>1.7784199999999999</v>
      </c>
      <c r="H11" s="3">
        <f>VLOOKUP($A11,'Summary Data (40)'!$C$2:$L$247,7,1)</f>
        <v>3.4375740000000001</v>
      </c>
      <c r="I11" s="3" t="str">
        <f>VLOOKUP($A11,'Summary Data (40)'!$C$2:$L$247,4,0)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22.522189772166378</v>
      </c>
      <c r="N11" s="3">
        <f t="shared" si="1"/>
        <v>22.376024609511759</v>
      </c>
      <c r="O11" s="3">
        <f t="shared" si="2"/>
        <v>1.5015515309172709</v>
      </c>
      <c r="P11" s="3">
        <f t="shared" si="3"/>
        <v>20.874473078594487</v>
      </c>
      <c r="Q11" s="5">
        <f t="shared" si="4"/>
        <v>13.901935863528204</v>
      </c>
      <c r="R11" s="3">
        <f t="shared" si="5"/>
        <v>-85.071579131103505</v>
      </c>
      <c r="S11" s="3">
        <f t="shared" si="6"/>
        <v>8.604059320883696</v>
      </c>
      <c r="T11" s="3">
        <f t="shared" si="7"/>
        <v>93.675638451987197</v>
      </c>
      <c r="U11" s="3">
        <f>VLOOKUP($A11,'Summary Data (40)'!$C$2:$N$247,11,0)</f>
        <v>0</v>
      </c>
      <c r="V11" s="3">
        <f>VLOOKUP($A11,'Summary Data (40)'!$C$2:$N$247,12,1)</f>
        <v>0</v>
      </c>
      <c r="W11" s="3">
        <f>VLOOKUP($A11,'Summary Data (40)'!$C$2:$N$247,11,1)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(40)'!$C$2:$L$247,3,0)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(40)'!$C$2:$L$247,5,1)</f>
        <v>5.6978989999999996</v>
      </c>
      <c r="G12" s="3">
        <f>VLOOKUP($A12,'Summary Data (40)'!$C$2:$L$247,6,1)</f>
        <v>1.7740290000000001</v>
      </c>
      <c r="H12" s="3">
        <f>VLOOKUP($A12,'Summary Data (40)'!$C$2:$L$247,7,1)</f>
        <v>0.97123380000000004</v>
      </c>
      <c r="I12" s="3" t="str">
        <f>VLOOKUP($A12,'Summary Data (40)'!$C$2:$L$247,4,0)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5.946105077953419</v>
      </c>
      <c r="N12" s="3">
        <f t="shared" si="1"/>
        <v>10.277588884872923</v>
      </c>
      <c r="O12" s="3">
        <f t="shared" si="2"/>
        <v>4.3329067610554466</v>
      </c>
      <c r="P12" s="3">
        <f t="shared" si="3"/>
        <v>5.9446821238174765</v>
      </c>
      <c r="Q12" s="5">
        <f t="shared" si="4"/>
        <v>1.3719847787284072</v>
      </c>
      <c r="R12" s="3">
        <f t="shared" si="5"/>
        <v>-19.074748100261683</v>
      </c>
      <c r="S12" s="3">
        <f t="shared" si="6"/>
        <v>-17.957897787206136</v>
      </c>
      <c r="T12" s="3">
        <f t="shared" si="7"/>
        <v>1.1168503130555472</v>
      </c>
      <c r="U12" s="3">
        <f>VLOOKUP($A12,'Summary Data (40)'!$C$2:$N$247,11,0)</f>
        <v>0</v>
      </c>
      <c r="V12" s="3">
        <f>VLOOKUP($A12,'Summary Data (40)'!$C$2:$N$247,12,1)</f>
        <v>0</v>
      </c>
      <c r="W12" s="3">
        <f>VLOOKUP($A12,'Summary Data (40)'!$C$2:$N$247,11,1)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(40)'!$C$2:$L$247,3,0)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(40)'!$C$2:$L$247,5,1)</f>
        <v>7.5751670000000004</v>
      </c>
      <c r="G13" s="3">
        <f>VLOOKUP($A13,'Summary Data (40)'!$C$2:$L$247,6,1)</f>
        <v>1.779455</v>
      </c>
      <c r="H13" s="3">
        <f>VLOOKUP($A13,'Summary Data (40)'!$C$2:$L$247,7,1)</f>
        <v>-11.92473</v>
      </c>
      <c r="I13" s="3" t="str">
        <f>VLOOKUP($A13,'Summary Data (40)'!$C$2:$L$247,4,0)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11.486691722632283</v>
      </c>
      <c r="N13" s="3">
        <f t="shared" si="1"/>
        <v>8.5990873973224051</v>
      </c>
      <c r="O13" s="3">
        <f t="shared" si="2"/>
        <v>4.3718971854333439</v>
      </c>
      <c r="P13" s="3">
        <f t="shared" si="3"/>
        <v>4.2271902118890612</v>
      </c>
      <c r="Q13" s="5">
        <f t="shared" si="4"/>
        <v>0.96690064578224078</v>
      </c>
      <c r="R13" s="3">
        <f t="shared" si="5"/>
        <v>177.02371934116897</v>
      </c>
      <c r="S13" s="3">
        <f t="shared" si="6"/>
        <v>-61.832794457097961</v>
      </c>
      <c r="T13" s="3">
        <f t="shared" si="7"/>
        <v>121.14348620173308</v>
      </c>
      <c r="U13" s="3">
        <f>VLOOKUP($A13,'Summary Data (40)'!$C$2:$N$247,11,0)</f>
        <v>0</v>
      </c>
      <c r="V13" s="3">
        <f>VLOOKUP($A13,'Summary Data (40)'!$C$2:$N$247,12,1)</f>
        <v>0</v>
      </c>
      <c r="W13" s="3">
        <f>VLOOKUP($A13,'Summary Data (40)'!$C$2:$N$247,11,1)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(40)'!$C$2:$L$247,3,0)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(40)'!$C$2:$L$247,5,1)</f>
        <v>-18.819089999999999</v>
      </c>
      <c r="G14" s="3">
        <f>VLOOKUP($A14,'Summary Data (40)'!$C$2:$L$247,6,1)</f>
        <v>1.78813</v>
      </c>
      <c r="H14" s="3">
        <f>VLOOKUP($A14,'Summary Data (40)'!$C$2:$L$247,7,1)</f>
        <v>-3.6103969999999999</v>
      </c>
      <c r="I14" s="3" t="str">
        <f>VLOOKUP($A14,'Summary Data (40)'!$C$2:$L$247,4,0)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22.846126515532323</v>
      </c>
      <c r="N14" s="3">
        <f t="shared" si="1"/>
        <v>15.000942669769422</v>
      </c>
      <c r="O14" s="3">
        <f t="shared" si="2"/>
        <v>8.0292617967033557</v>
      </c>
      <c r="P14" s="3">
        <f t="shared" si="3"/>
        <v>6.9716808730660667</v>
      </c>
      <c r="Q14" s="5">
        <f t="shared" si="4"/>
        <v>0.86828416479438875</v>
      </c>
      <c r="R14" s="3">
        <f t="shared" si="5"/>
        <v>23.666151625811782</v>
      </c>
      <c r="S14" s="3">
        <f t="shared" si="6"/>
        <v>-171.54975155305056</v>
      </c>
      <c r="T14" s="3">
        <f t="shared" si="7"/>
        <v>164.78409682113767</v>
      </c>
      <c r="U14" s="3">
        <f>VLOOKUP($A14,'Summary Data (40)'!$C$2:$N$247,11,0)</f>
        <v>0</v>
      </c>
      <c r="V14" s="3">
        <f>VLOOKUP($A14,'Summary Data (40)'!$C$2:$N$247,12,1)</f>
        <v>0</v>
      </c>
      <c r="W14" s="3">
        <f>VLOOKUP($A14,'Summary Data (40)'!$C$2:$N$247,11,1)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(40)'!$C$2:$L$247,3,0)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(40)'!$C$2:$L$247,5,1)</f>
        <v>10.48523</v>
      </c>
      <c r="G15" s="3">
        <f>VLOOKUP($A15,'Summary Data (40)'!$C$2:$L$247,6,1)</f>
        <v>1.7840309999999999</v>
      </c>
      <c r="H15" s="3">
        <f>VLOOKUP($A15,'Summary Data (40)'!$C$2:$L$247,7,1)</f>
        <v>-6.8048520000000003</v>
      </c>
      <c r="I15" s="3" t="str">
        <f>VLOOKUP($A15,'Summary Data (40)'!$C$2:$L$247,4,0)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15.440835901297701</v>
      </c>
      <c r="N15" s="3">
        <f t="shared" si="1"/>
        <v>16.141862434514923</v>
      </c>
      <c r="O15" s="3">
        <f t="shared" si="2"/>
        <v>1.5015515309172709</v>
      </c>
      <c r="P15" s="3">
        <f t="shared" si="3"/>
        <v>14.640310903597653</v>
      </c>
      <c r="Q15" s="5">
        <f t="shared" si="4"/>
        <v>9.7501221917133609</v>
      </c>
      <c r="R15" s="3">
        <f t="shared" si="5"/>
        <v>-85.071579131103505</v>
      </c>
      <c r="S15" s="3">
        <f t="shared" si="6"/>
        <v>-25.286260066802512</v>
      </c>
      <c r="T15" s="3">
        <f t="shared" si="7"/>
        <v>59.785319064300992</v>
      </c>
      <c r="U15" s="3">
        <f>VLOOKUP($A15,'Summary Data (40)'!$C$2:$N$247,11,0)</f>
        <v>0</v>
      </c>
      <c r="V15" s="3">
        <f>VLOOKUP($A15,'Summary Data (40)'!$C$2:$N$247,12,1)</f>
        <v>0</v>
      </c>
      <c r="W15" s="3">
        <f>VLOOKUP($A15,'Summary Data (40)'!$C$2:$N$247,11,1)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(40)'!$C$2:$L$247,3,0)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(40)'!$C$2:$L$247,5,1)</f>
        <v>5.7394879999999997</v>
      </c>
      <c r="G16" s="3">
        <f>VLOOKUP($A16,'Summary Data (40)'!$C$2:$L$247,6,1)</f>
        <v>1.7741</v>
      </c>
      <c r="H16" s="3">
        <f>VLOOKUP($A16,'Summary Data (40)'!$C$2:$L$247,7,1)</f>
        <v>-1.06698</v>
      </c>
      <c r="I16" s="3" t="str">
        <f>VLOOKUP($A16,'Summary Data (40)'!$C$2:$L$247,4,0)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6.8651179339137363</v>
      </c>
      <c r="N16" s="3">
        <f t="shared" si="1"/>
        <v>11.113745872861408</v>
      </c>
      <c r="O16" s="3">
        <f t="shared" si="2"/>
        <v>4.3329067610554466</v>
      </c>
      <c r="P16" s="3">
        <f t="shared" si="3"/>
        <v>6.7808391118059612</v>
      </c>
      <c r="Q16" s="5">
        <f t="shared" si="4"/>
        <v>1.5649630803858392</v>
      </c>
      <c r="R16" s="3">
        <f t="shared" si="5"/>
        <v>-19.074748100261683</v>
      </c>
      <c r="S16" s="3">
        <f t="shared" si="6"/>
        <v>-27.938081349857139</v>
      </c>
      <c r="T16" s="3">
        <f t="shared" si="7"/>
        <v>8.8633332495954562</v>
      </c>
      <c r="U16" s="3">
        <f>VLOOKUP($A16,'Summary Data (40)'!$C$2:$N$247,11,0)</f>
        <v>0</v>
      </c>
      <c r="V16" s="3">
        <f>VLOOKUP($A16,'Summary Data (40)'!$C$2:$N$247,12,1)</f>
        <v>0</v>
      </c>
      <c r="W16" s="3">
        <f>VLOOKUP($A16,'Summary Data (40)'!$C$2:$N$247,11,1)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(40)'!$C$2:$L$247,3,0)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(40)'!$C$2:$L$247,5,1)</f>
        <v>10.307790000000001</v>
      </c>
      <c r="G17" s="3">
        <f>VLOOKUP($A17,'Summary Data (40)'!$C$2:$L$247,6,1)</f>
        <v>1.781407</v>
      </c>
      <c r="H17" s="3">
        <f>VLOOKUP($A17,'Summary Data (40)'!$C$2:$L$247,7,1)</f>
        <v>14.131589999999999</v>
      </c>
      <c r="I17" s="3" t="str">
        <f>VLOOKUP($A17,'Summary Data (40)'!$C$2:$L$247,4,0)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20.125578705026097</v>
      </c>
      <c r="N17" s="3">
        <f t="shared" si="1"/>
        <v>16.124679882472087</v>
      </c>
      <c r="O17" s="3">
        <f t="shared" si="2"/>
        <v>8.0641771433916301</v>
      </c>
      <c r="P17" s="3">
        <f t="shared" si="3"/>
        <v>8.0605027390804569</v>
      </c>
      <c r="Q17" s="5">
        <f t="shared" si="4"/>
        <v>0.99954435471272052</v>
      </c>
      <c r="R17" s="3">
        <f t="shared" si="5"/>
        <v>174.57078263739461</v>
      </c>
      <c r="S17" s="3">
        <f t="shared" si="6"/>
        <v>66.654551507698827</v>
      </c>
      <c r="T17" s="3">
        <f t="shared" si="7"/>
        <v>107.91623112969579</v>
      </c>
      <c r="U17" s="3">
        <f>VLOOKUP($A17,'Summary Data (40)'!$C$2:$N$247,11,0)</f>
        <v>0</v>
      </c>
      <c r="V17" s="3">
        <f>VLOOKUP($A17,'Summary Data (40)'!$C$2:$N$247,12,1)</f>
        <v>0</v>
      </c>
      <c r="W17" s="3">
        <f>VLOOKUP($A17,'Summary Data (40)'!$C$2:$N$247,11,1)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(40)'!$C$2:$L$247,3,0)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(40)'!$C$2:$L$247,5,1)</f>
        <v>2.489582</v>
      </c>
      <c r="G18" s="3">
        <f>VLOOKUP($A18,'Summary Data (40)'!$C$2:$L$247,6,1)</f>
        <v>1.785676</v>
      </c>
      <c r="H18" s="3">
        <f>VLOOKUP($A18,'Summary Data (40)'!$C$2:$L$247,7,1)</f>
        <v>22.714880000000001</v>
      </c>
      <c r="I18" s="3" t="str">
        <f>VLOOKUP($A18,'Summary Data (40)'!$C$2:$L$247,4,0)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23.43145981105582</v>
      </c>
      <c r="N18" s="3">
        <f t="shared" si="1"/>
        <v>20.916544070594551</v>
      </c>
      <c r="O18" s="3">
        <f t="shared" si="2"/>
        <v>2.5489458605470614</v>
      </c>
      <c r="P18" s="3">
        <f t="shared" si="3"/>
        <v>18.36759821004749</v>
      </c>
      <c r="Q18" s="5">
        <f t="shared" si="4"/>
        <v>7.2059585471561913</v>
      </c>
      <c r="R18" s="3">
        <f t="shared" si="5"/>
        <v>-77.654050540796021</v>
      </c>
      <c r="S18" s="3">
        <f t="shared" si="6"/>
        <v>92.420628535240184</v>
      </c>
      <c r="T18" s="3">
        <f t="shared" si="7"/>
        <v>170.0746790760362</v>
      </c>
      <c r="U18" s="3">
        <f>VLOOKUP($A18,'Summary Data (40)'!$C$2:$N$247,11,0)</f>
        <v>0</v>
      </c>
      <c r="V18" s="3">
        <f>VLOOKUP($A18,'Summary Data (40)'!$C$2:$N$247,12,1)</f>
        <v>0</v>
      </c>
      <c r="W18" s="3">
        <f>VLOOKUP($A18,'Summary Data (40)'!$C$2:$N$247,11,1)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(40)'!$C$2:$L$247,3,0)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(40)'!$C$2:$L$247,5,1)</f>
        <v>-13.69314</v>
      </c>
      <c r="G19" s="3">
        <f>VLOOKUP($A19,'Summary Data (40)'!$C$2:$L$247,6,1)</f>
        <v>1.7822070000000001</v>
      </c>
      <c r="H19" s="3">
        <f>VLOOKUP($A19,'Summary Data (40)'!$C$2:$L$247,7,1)</f>
        <v>-18.806380000000001</v>
      </c>
      <c r="I19" s="3" t="str">
        <f>VLOOKUP($A19,'Summary Data (40)'!$C$2:$L$247,4,0)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26.768954726025445</v>
      </c>
      <c r="N19" s="3">
        <f t="shared" si="1"/>
        <v>19.927340201943661</v>
      </c>
      <c r="O19" s="3">
        <f t="shared" si="2"/>
        <v>8.0292617967033557</v>
      </c>
      <c r="P19" s="3">
        <f t="shared" si="3"/>
        <v>11.898078405240305</v>
      </c>
      <c r="Q19" s="5">
        <f t="shared" si="4"/>
        <v>1.481839639370758</v>
      </c>
      <c r="R19" s="3">
        <f t="shared" si="5"/>
        <v>23.666151625811782</v>
      </c>
      <c r="S19" s="3">
        <f t="shared" si="6"/>
        <v>-119.1683665740709</v>
      </c>
      <c r="T19" s="3">
        <f t="shared" si="7"/>
        <v>142.83451819988269</v>
      </c>
      <c r="U19" s="3">
        <f>VLOOKUP($A19,'Summary Data (40)'!$C$2:$N$247,11,0)</f>
        <v>0</v>
      </c>
      <c r="V19" s="3">
        <f>VLOOKUP($A19,'Summary Data (40)'!$C$2:$N$247,12,1)</f>
        <v>0</v>
      </c>
      <c r="W19" s="3">
        <f>VLOOKUP($A19,'Summary Data (40)'!$C$2:$N$247,11,1)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(40)'!$C$2:$L$247,3,0)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(40)'!$C$2:$L$247,5,1)</f>
        <v>18.56493</v>
      </c>
      <c r="G20" s="3">
        <f>VLOOKUP($A20,'Summary Data (40)'!$C$2:$L$247,6,1)</f>
        <v>1.7768790000000001</v>
      </c>
      <c r="H20" s="3">
        <f>VLOOKUP($A20,'Summary Data (40)'!$C$2:$L$247,7,1)</f>
        <v>2.8866510000000001</v>
      </c>
      <c r="I20" s="3" t="str">
        <f>VLOOKUP($A20,'Summary Data (40)'!$C$2:$L$247,4,0)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16.695885961179208</v>
      </c>
      <c r="N20" s="3">
        <f t="shared" si="1"/>
        <v>18.549643109577637</v>
      </c>
      <c r="O20" s="3">
        <f t="shared" si="2"/>
        <v>7.8871175977032326</v>
      </c>
      <c r="P20" s="3">
        <f t="shared" si="3"/>
        <v>10.662525511874405</v>
      </c>
      <c r="Q20" s="5">
        <f t="shared" si="4"/>
        <v>1.3518912809134969</v>
      </c>
      <c r="R20" s="3">
        <f t="shared" si="5"/>
        <v>-63.65586590726528</v>
      </c>
      <c r="S20" s="3">
        <f t="shared" si="6"/>
        <v>0.50239970660625832</v>
      </c>
      <c r="T20" s="3">
        <f t="shared" si="7"/>
        <v>64.158265613871535</v>
      </c>
      <c r="U20" s="3">
        <f>VLOOKUP($A20,'Summary Data (40)'!$C$2:$N$247,11,0)</f>
        <v>0</v>
      </c>
      <c r="V20" s="3">
        <f>VLOOKUP($A20,'Summary Data (40)'!$C$2:$N$247,12,1)</f>
        <v>0</v>
      </c>
      <c r="W20" s="3">
        <f>VLOOKUP($A20,'Summary Data (40)'!$C$2:$N$247,11,1)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(40)'!$C$2:$L$247,3,0)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(40)'!$C$2:$L$247,5,1)</f>
        <v>-19.316469999999999</v>
      </c>
      <c r="G21" s="3">
        <f>VLOOKUP($A21,'Summary Data (40)'!$C$2:$L$247,6,1)</f>
        <v>1.77444</v>
      </c>
      <c r="H21" s="3">
        <f>VLOOKUP($A21,'Summary Data (40)'!$C$2:$L$247,7,1)</f>
        <v>8.0497259999999997</v>
      </c>
      <c r="I21" s="3" t="str">
        <f>VLOOKUP($A21,'Summary Data (40)'!$C$2:$L$247,4,0)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24.817867455766134</v>
      </c>
      <c r="N21" s="3">
        <f t="shared" si="1"/>
        <v>23.5299579742926</v>
      </c>
      <c r="O21" s="3">
        <f t="shared" si="2"/>
        <v>2.5489458605470614</v>
      </c>
      <c r="P21" s="3">
        <f t="shared" si="3"/>
        <v>20.981012113745539</v>
      </c>
      <c r="Q21" s="5">
        <f t="shared" si="4"/>
        <v>8.2312505881323581</v>
      </c>
      <c r="R21" s="3">
        <f t="shared" si="5"/>
        <v>-77.654050540796021</v>
      </c>
      <c r="S21" s="3">
        <f t="shared" si="6"/>
        <v>164.63989787630445</v>
      </c>
      <c r="T21" s="3">
        <f t="shared" si="7"/>
        <v>117.70605158289953</v>
      </c>
      <c r="U21" s="3">
        <f>VLOOKUP($A21,'Summary Data (40)'!$C$2:$N$247,11,0)</f>
        <v>0</v>
      </c>
      <c r="V21" s="3">
        <f>VLOOKUP($A21,'Summary Data (40)'!$C$2:$N$247,12,1)</f>
        <v>0</v>
      </c>
      <c r="W21" s="3">
        <f>VLOOKUP($A21,'Summary Data (40)'!$C$2:$N$247,11,1)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(40)'!$C$2:$L$247,3,0)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(40)'!$C$2:$L$247,5,1)</f>
        <v>9.3624500000000008</v>
      </c>
      <c r="G22" s="3">
        <f>VLOOKUP($A22,'Summary Data (40)'!$C$2:$L$247,6,1)</f>
        <v>1.7753509999999999</v>
      </c>
      <c r="H22" s="3">
        <f>VLOOKUP($A22,'Summary Data (40)'!$C$2:$L$247,7,1)</f>
        <v>-4.9291400000000003</v>
      </c>
      <c r="I22" s="3" t="str">
        <f>VLOOKUP($A22,'Summary Data (40)'!$C$2:$L$247,4,0)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13.800730899561081</v>
      </c>
      <c r="N22" s="3">
        <f t="shared" si="1"/>
        <v>14.377019000547369</v>
      </c>
      <c r="O22" s="3">
        <f t="shared" si="2"/>
        <v>1.5015515309172709</v>
      </c>
      <c r="P22" s="3">
        <f t="shared" si="3"/>
        <v>12.875467469630099</v>
      </c>
      <c r="Q22" s="5">
        <f t="shared" si="4"/>
        <v>8.5747756267576829</v>
      </c>
      <c r="R22" s="3">
        <f t="shared" si="5"/>
        <v>-85.071579131103505</v>
      </c>
      <c r="S22" s="3">
        <f t="shared" si="6"/>
        <v>-20.432798657018839</v>
      </c>
      <c r="T22" s="3">
        <f t="shared" si="7"/>
        <v>64.638780474084669</v>
      </c>
      <c r="U22" s="3">
        <f>VLOOKUP($A22,'Summary Data (40)'!$C$2:$N$247,11,0)</f>
        <v>0</v>
      </c>
      <c r="V22" s="3">
        <f>VLOOKUP($A22,'Summary Data (40)'!$C$2:$N$247,12,1)</f>
        <v>0</v>
      </c>
      <c r="W22" s="3">
        <f>VLOOKUP($A22,'Summary Data (40)'!$C$2:$N$247,11,1)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(40)'!$C$2:$L$247,3,0)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(40)'!$C$2:$L$247,5,1)</f>
        <v>8.2352799999999995</v>
      </c>
      <c r="G23" s="3">
        <f>VLOOKUP($A23,'Summary Data (40)'!$C$2:$L$247,6,1)</f>
        <v>1.782691</v>
      </c>
      <c r="H23" s="3">
        <f>VLOOKUP($A23,'Summary Data (40)'!$C$2:$L$247,7,1)</f>
        <v>-13.96752</v>
      </c>
      <c r="I23" s="3" t="str">
        <f>VLOOKUP($A23,'Summary Data (40)'!$C$2:$L$247,4,0)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13.400561814670308</v>
      </c>
      <c r="N23" s="3">
        <f t="shared" si="1"/>
        <v>10.71838331600433</v>
      </c>
      <c r="O23" s="3">
        <f t="shared" si="2"/>
        <v>4.3718971854333439</v>
      </c>
      <c r="P23" s="3">
        <f t="shared" si="3"/>
        <v>6.3464861305709857</v>
      </c>
      <c r="Q23" s="5">
        <f t="shared" si="4"/>
        <v>1.4516549363779057</v>
      </c>
      <c r="R23" s="3">
        <f t="shared" si="5"/>
        <v>177.02371934116897</v>
      </c>
      <c r="S23" s="3">
        <f t="shared" si="6"/>
        <v>-63.877120044571974</v>
      </c>
      <c r="T23" s="3">
        <f t="shared" si="7"/>
        <v>119.09916061425906</v>
      </c>
      <c r="U23" s="3">
        <f>VLOOKUP($A23,'Summary Data (40)'!$C$2:$N$247,11,0)</f>
        <v>0</v>
      </c>
      <c r="V23" s="3">
        <f>VLOOKUP($A23,'Summary Data (40)'!$C$2:$N$247,12,1)</f>
        <v>0</v>
      </c>
      <c r="W23" s="3">
        <f>VLOOKUP($A23,'Summary Data (40)'!$C$2:$N$247,11,1)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(40)'!$C$2:$L$247,3,0)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(40)'!$C$2:$L$247,5,1)</f>
        <v>-6.3461829999999999</v>
      </c>
      <c r="G24" s="3">
        <f>VLOOKUP($A24,'Summary Data (40)'!$C$2:$L$247,6,1)</f>
        <v>1.781666</v>
      </c>
      <c r="H24" s="3">
        <f>VLOOKUP($A24,'Summary Data (40)'!$C$2:$L$247,7,1)</f>
        <v>28.571770000000001</v>
      </c>
      <c r="I24" s="3" t="str">
        <f>VLOOKUP($A24,'Summary Data (40)'!$C$2:$L$247,4,0)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24.536737845288009</v>
      </c>
      <c r="N24" s="3">
        <f t="shared" si="1"/>
        <v>33.147604916228701</v>
      </c>
      <c r="O24" s="3">
        <f t="shared" si="2"/>
        <v>8.8659173242253964</v>
      </c>
      <c r="P24" s="3">
        <f t="shared" si="3"/>
        <v>24.281687592003305</v>
      </c>
      <c r="Q24" s="5">
        <f t="shared" si="4"/>
        <v>2.7387676541552639</v>
      </c>
      <c r="R24" s="3">
        <f t="shared" si="5"/>
        <v>111.35858600069317</v>
      </c>
      <c r="S24" s="3">
        <f t="shared" si="6"/>
        <v>99.544254779211812</v>
      </c>
      <c r="T24" s="3">
        <f t="shared" si="7"/>
        <v>11.814331221481353</v>
      </c>
      <c r="U24" s="3">
        <f>VLOOKUP($A24,'Summary Data (40)'!$C$2:$N$247,11,0)</f>
        <v>0</v>
      </c>
      <c r="V24" s="3">
        <f>VLOOKUP($A24,'Summary Data (40)'!$C$2:$N$247,12,1)</f>
        <v>0</v>
      </c>
      <c r="W24" s="3">
        <f>VLOOKUP($A24,'Summary Data (40)'!$C$2:$N$247,11,1)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(40)'!$C$2:$L$247,3,0)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(40)'!$C$2:$L$247,5,1)</f>
        <v>-1.5002580000000001</v>
      </c>
      <c r="G25" s="3">
        <f>VLOOKUP($A25,'Summary Data (40)'!$C$2:$L$247,6,1)</f>
        <v>1.7799290000000001</v>
      </c>
      <c r="H25" s="3">
        <f>VLOOKUP($A25,'Summary Data (40)'!$C$2:$L$247,7,1)</f>
        <v>13.25958</v>
      </c>
      <c r="I25" s="3" t="str">
        <f>VLOOKUP($A25,'Summary Data (40)'!$C$2:$L$247,4,0)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13.425669096285816</v>
      </c>
      <c r="N25" s="3">
        <f t="shared" si="1"/>
        <v>14.949057000726299</v>
      </c>
      <c r="O25" s="3">
        <f t="shared" si="2"/>
        <v>8.0641771433916301</v>
      </c>
      <c r="P25" s="3">
        <f t="shared" si="3"/>
        <v>6.8848798573346688</v>
      </c>
      <c r="Q25" s="5">
        <f t="shared" si="4"/>
        <v>0.85376098948627854</v>
      </c>
      <c r="R25" s="3">
        <f t="shared" si="5"/>
        <v>174.57078263739461</v>
      </c>
      <c r="S25" s="3">
        <f t="shared" si="6"/>
        <v>111.25062140281798</v>
      </c>
      <c r="T25" s="3">
        <f t="shared" si="7"/>
        <v>63.320161234576631</v>
      </c>
      <c r="U25" s="3">
        <f>VLOOKUP($A25,'Summary Data (40)'!$C$2:$N$247,11,0)</f>
        <v>0</v>
      </c>
      <c r="V25" s="3">
        <f>VLOOKUP($A25,'Summary Data (40)'!$C$2:$N$247,12,1)</f>
        <v>0</v>
      </c>
      <c r="W25" s="3">
        <f>VLOOKUP($A25,'Summary Data (40)'!$C$2:$N$247,11,1)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(40)'!$C$2:$L$247,3,0)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(40)'!$C$2:$L$247,5,1)</f>
        <v>3.8412830000000002E-2</v>
      </c>
      <c r="G26" s="3">
        <f>VLOOKUP($A26,'Summary Data (40)'!$C$2:$L$247,6,1)</f>
        <v>1.776929</v>
      </c>
      <c r="H26" s="3">
        <f>VLOOKUP($A26,'Summary Data (40)'!$C$2:$L$247,7,1)</f>
        <v>2.746731</v>
      </c>
      <c r="I26" s="3" t="str">
        <f>VLOOKUP($A26,'Summary Data (40)'!$C$2:$L$247,4,0)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3.1922301132733095E-2</v>
      </c>
      <c r="N26" s="3">
        <f t="shared" si="1"/>
        <v>4.3467559074566875</v>
      </c>
      <c r="O26" s="3">
        <f t="shared" si="2"/>
        <v>4.3329067610554466</v>
      </c>
      <c r="P26" s="3">
        <f t="shared" si="3"/>
        <v>1.3849146401240908E-2</v>
      </c>
      <c r="Q26" s="5">
        <f t="shared" si="4"/>
        <v>3.1962715020129847E-3</v>
      </c>
      <c r="R26" s="3">
        <f t="shared" si="5"/>
        <v>-19.074748100261683</v>
      </c>
      <c r="S26" s="3">
        <f t="shared" si="6"/>
        <v>-18.695026383296831</v>
      </c>
      <c r="T26" s="3">
        <f t="shared" si="7"/>
        <v>0.37972171696485191</v>
      </c>
      <c r="U26" s="3">
        <f>VLOOKUP($A26,'Summary Data (40)'!$C$2:$N$247,11,0)</f>
        <v>0</v>
      </c>
      <c r="V26" s="3">
        <f>VLOOKUP($A26,'Summary Data (40)'!$C$2:$N$247,12,1)</f>
        <v>0</v>
      </c>
      <c r="W26" s="3">
        <f>VLOOKUP($A26,'Summary Data (40)'!$C$2:$N$247,11,1)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(40)'!$C$2:$L$247,3,0)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(40)'!$C$2:$L$247,5,1)</f>
        <v>9.065588</v>
      </c>
      <c r="G27" s="3">
        <f>VLOOKUP($A27,'Summary Data (40)'!$C$2:$L$247,6,1)</f>
        <v>1.7904389999999999</v>
      </c>
      <c r="H27" s="3">
        <f>VLOOKUP($A27,'Summary Data (40)'!$C$2:$L$247,7,1)</f>
        <v>7.2312310000000002</v>
      </c>
      <c r="I27" s="3" t="str">
        <f>VLOOKUP($A27,'Summary Data (40)'!$C$2:$L$247,4,0)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13.503181209815152</v>
      </c>
      <c r="N27" s="3">
        <f t="shared" si="1"/>
        <v>15.069878307906306</v>
      </c>
      <c r="O27" s="3">
        <f t="shared" si="2"/>
        <v>8.8659173242253964</v>
      </c>
      <c r="P27" s="3">
        <f t="shared" si="3"/>
        <v>6.2039609836809095</v>
      </c>
      <c r="Q27" s="5">
        <f t="shared" si="4"/>
        <v>0.69975398560610214</v>
      </c>
      <c r="R27" s="3">
        <f t="shared" si="5"/>
        <v>111.35858600069317</v>
      </c>
      <c r="S27" s="3">
        <f t="shared" si="6"/>
        <v>48.854459607439665</v>
      </c>
      <c r="T27" s="3">
        <f t="shared" si="7"/>
        <v>62.5041263932535</v>
      </c>
      <c r="U27" s="3">
        <f>VLOOKUP($A27,'Summary Data (40)'!$C$2:$N$247,11,0)</f>
        <v>0</v>
      </c>
      <c r="V27" s="3">
        <f>VLOOKUP($A27,'Summary Data (40)'!$C$2:$N$247,12,1)</f>
        <v>0</v>
      </c>
      <c r="W27" s="3">
        <f>VLOOKUP($A27,'Summary Data (40)'!$C$2:$N$247,11,1)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(40)'!$C$2:$L$247,3,0)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(40)'!$C$2:$L$247,5,1)</f>
        <v>-11.86429</v>
      </c>
      <c r="G28" s="3">
        <f>VLOOKUP($A28,'Summary Data (40)'!$C$2:$L$247,6,1)</f>
        <v>1.778586</v>
      </c>
      <c r="H28" s="3">
        <f>VLOOKUP($A28,'Summary Data (40)'!$C$2:$L$247,7,1)</f>
        <v>14.62372</v>
      </c>
      <c r="I28" s="3" t="str">
        <f>VLOOKUP($A28,'Summary Data (40)'!$C$2:$L$247,4,0)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21.978860762161901</v>
      </c>
      <c r="N28" s="3">
        <f t="shared" si="1"/>
        <v>19.904448841967469</v>
      </c>
      <c r="O28" s="3">
        <f t="shared" si="2"/>
        <v>2.5489458605470614</v>
      </c>
      <c r="P28" s="3">
        <f t="shared" si="3"/>
        <v>17.355502981420408</v>
      </c>
      <c r="Q28" s="5">
        <f t="shared" si="4"/>
        <v>6.8088943159018385</v>
      </c>
      <c r="R28" s="3">
        <f t="shared" si="5"/>
        <v>-77.654050540796021</v>
      </c>
      <c r="S28" s="3">
        <f t="shared" si="6"/>
        <v>139.95343822551067</v>
      </c>
      <c r="T28" s="3">
        <f t="shared" si="7"/>
        <v>142.39251123369331</v>
      </c>
      <c r="U28" s="3">
        <f>VLOOKUP($A28,'Summary Data (40)'!$C$2:$N$247,11,0)</f>
        <v>0</v>
      </c>
      <c r="V28" s="3">
        <f>VLOOKUP($A28,'Summary Data (40)'!$C$2:$N$247,12,1)</f>
        <v>0</v>
      </c>
      <c r="W28" s="3">
        <f>VLOOKUP($A28,'Summary Data (40)'!$C$2:$N$247,11,1)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(40)'!$C$2:$L$247,3,0)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(40)'!$C$2:$L$247,5,1)</f>
        <v>6.4964009999999996</v>
      </c>
      <c r="G29" s="3">
        <f>VLOOKUP($A29,'Summary Data (40)'!$C$2:$L$247,6,1)</f>
        <v>1.7807120000000001</v>
      </c>
      <c r="H29" s="3">
        <f>VLOOKUP($A29,'Summary Data (40)'!$C$2:$L$247,7,1)</f>
        <v>1.2807470000000001</v>
      </c>
      <c r="I29" s="3" t="str">
        <f>VLOOKUP($A29,'Summary Data (40)'!$C$2:$L$247,4,0)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6.639169853438756</v>
      </c>
      <c r="N29" s="3">
        <f t="shared" si="1"/>
        <v>10.955109950557775</v>
      </c>
      <c r="O29" s="3">
        <f t="shared" si="2"/>
        <v>4.3329067610554466</v>
      </c>
      <c r="P29" s="3">
        <f t="shared" si="3"/>
        <v>6.6222031895023283</v>
      </c>
      <c r="Q29" s="5">
        <f t="shared" si="4"/>
        <v>1.5283511865575514</v>
      </c>
      <c r="R29" s="3">
        <f t="shared" si="5"/>
        <v>-19.074748100261683</v>
      </c>
      <c r="S29" s="3">
        <f t="shared" si="6"/>
        <v>-15.129240560780053</v>
      </c>
      <c r="T29" s="3">
        <f t="shared" si="7"/>
        <v>3.9455075394816301</v>
      </c>
      <c r="U29" s="3">
        <f>VLOOKUP($A29,'Summary Data (40)'!$C$2:$N$247,11,0)</f>
        <v>0</v>
      </c>
      <c r="V29" s="3">
        <f>VLOOKUP($A29,'Summary Data (40)'!$C$2:$N$247,12,1)</f>
        <v>0</v>
      </c>
      <c r="W29" s="3">
        <f>VLOOKUP($A29,'Summary Data (40)'!$C$2:$N$247,11,1)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(40)'!$C$2:$L$247,3,0)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(40)'!$C$2:$L$247,5,1)</f>
        <v>7.7473270000000003</v>
      </c>
      <c r="G30" s="3">
        <f>VLOOKUP($A30,'Summary Data (40)'!$C$2:$L$247,6,1)</f>
        <v>1.784241</v>
      </c>
      <c r="H30" s="3">
        <f>VLOOKUP($A30,'Summary Data (40)'!$C$2:$L$247,7,1)</f>
        <v>-18.043189999999999</v>
      </c>
      <c r="I30" s="3" t="str">
        <f>VLOOKUP($A30,'Summary Data (40)'!$C$2:$L$247,4,0)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16.366209074218407</v>
      </c>
      <c r="N30" s="3">
        <f t="shared" si="1"/>
        <v>14.337779982864465</v>
      </c>
      <c r="O30" s="3">
        <f t="shared" si="2"/>
        <v>4.3718971854333439</v>
      </c>
      <c r="P30" s="3">
        <f t="shared" si="3"/>
        <v>9.9658827974311208</v>
      </c>
      <c r="Q30" s="5">
        <f t="shared" si="4"/>
        <v>2.2795327462494521</v>
      </c>
      <c r="R30" s="3">
        <f t="shared" si="5"/>
        <v>177.02371934116897</v>
      </c>
      <c r="S30" s="3">
        <f t="shared" si="6"/>
        <v>-72.835428326688415</v>
      </c>
      <c r="T30" s="3">
        <f t="shared" si="7"/>
        <v>110.14085233214263</v>
      </c>
      <c r="U30" s="3">
        <f>VLOOKUP($A30,'Summary Data (40)'!$C$2:$N$247,11,0)</f>
        <v>0</v>
      </c>
      <c r="V30" s="3">
        <f>VLOOKUP($A30,'Summary Data (40)'!$C$2:$N$247,12,1)</f>
        <v>0</v>
      </c>
      <c r="W30" s="3">
        <f>VLOOKUP($A30,'Summary Data (40)'!$C$2:$N$247,11,1)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(40)'!$C$2:$L$247,3,0)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(40)'!$C$2:$L$247,5,1)</f>
        <v>11.377879999999999</v>
      </c>
      <c r="G31" s="3">
        <f>VLOOKUP($A31,'Summary Data (40)'!$C$2:$L$247,6,1)</f>
        <v>1.7801819999999999</v>
      </c>
      <c r="H31" s="3">
        <f>VLOOKUP($A31,'Summary Data (40)'!$C$2:$L$247,7,1)</f>
        <v>0.1010863</v>
      </c>
      <c r="I31" s="3" t="str">
        <f>VLOOKUP($A31,'Summary Data (40)'!$C$2:$L$247,4,0)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15.432644101710105</v>
      </c>
      <c r="N31" s="3">
        <f t="shared" si="1"/>
        <v>15.487883967813282</v>
      </c>
      <c r="O31" s="3">
        <f t="shared" si="2"/>
        <v>1.5015515309172709</v>
      </c>
      <c r="P31" s="3">
        <f t="shared" si="3"/>
        <v>13.986332436896012</v>
      </c>
      <c r="Q31" s="5">
        <f t="shared" si="4"/>
        <v>9.3145870447429875</v>
      </c>
      <c r="R31" s="3">
        <f t="shared" si="5"/>
        <v>-85.071579131103505</v>
      </c>
      <c r="S31" s="3">
        <f t="shared" si="6"/>
        <v>4.1012591260328475E-2</v>
      </c>
      <c r="T31" s="3">
        <f t="shared" si="7"/>
        <v>85.112591722363831</v>
      </c>
      <c r="U31" s="3">
        <f>VLOOKUP($A31,'Summary Data (40)'!$C$2:$N$247,11,0)</f>
        <v>0</v>
      </c>
      <c r="V31" s="3">
        <f>VLOOKUP($A31,'Summary Data (40)'!$C$2:$N$247,12,1)</f>
        <v>0</v>
      </c>
      <c r="W31" s="3">
        <f>VLOOKUP($A31,'Summary Data (40)'!$C$2:$N$247,11,1)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(40)'!$C$2:$L$247,3,0)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(40)'!$C$2:$L$247,5,1)</f>
        <v>-17.027920000000002</v>
      </c>
      <c r="G32" s="3">
        <f>VLOOKUP($A32,'Summary Data (40)'!$C$2:$L$247,6,1)</f>
        <v>1.774049</v>
      </c>
      <c r="H32" s="3">
        <f>VLOOKUP($A32,'Summary Data (40)'!$C$2:$L$247,7,1)</f>
        <v>9.5537200000000002</v>
      </c>
      <c r="I32" s="3" t="str">
        <f>VLOOKUP($A32,'Summary Data (40)'!$C$2:$L$247,4,0)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16.013577157050204</v>
      </c>
      <c r="N32" s="3">
        <f t="shared" si="1"/>
        <v>23.309169153035036</v>
      </c>
      <c r="O32" s="3">
        <f t="shared" si="2"/>
        <v>8.0641771433916301</v>
      </c>
      <c r="P32" s="3">
        <f t="shared" si="3"/>
        <v>15.244992009643406</v>
      </c>
      <c r="Q32" s="5">
        <f t="shared" si="4"/>
        <v>1.8904584731420806</v>
      </c>
      <c r="R32" s="3">
        <f t="shared" si="5"/>
        <v>174.57078263739461</v>
      </c>
      <c r="S32" s="3">
        <f t="shared" si="6"/>
        <v>153.97633342232479</v>
      </c>
      <c r="T32" s="3">
        <f t="shared" si="7"/>
        <v>20.59444921506983</v>
      </c>
      <c r="U32" s="3">
        <f>VLOOKUP($A32,'Summary Data (40)'!$C$2:$N$247,11,0)</f>
        <v>0</v>
      </c>
      <c r="V32" s="3">
        <f>VLOOKUP($A32,'Summary Data (40)'!$C$2:$N$247,12,1)</f>
        <v>0</v>
      </c>
      <c r="W32" s="3">
        <f>VLOOKUP($A32,'Summary Data (40)'!$C$2:$N$247,11,1)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(40)'!$C$2:$L$247,3,0)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(40)'!$C$2:$L$247,5,1)</f>
        <v>-10.854900000000001</v>
      </c>
      <c r="G33" s="3">
        <f>VLOOKUP($A33,'Summary Data (40)'!$C$2:$L$247,6,1)</f>
        <v>1.7759400000000001</v>
      </c>
      <c r="H33" s="3">
        <f>VLOOKUP($A33,'Summary Data (40)'!$C$2:$L$247,7,1)</f>
        <v>3.7475749999999999</v>
      </c>
      <c r="I33" s="3" t="str">
        <f>VLOOKUP($A33,'Summary Data (40)'!$C$2:$L$247,4,0)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16.492311929824304</v>
      </c>
      <c r="N33" s="3">
        <f t="shared" si="1"/>
        <v>10.918982214044723</v>
      </c>
      <c r="O33" s="3">
        <f t="shared" si="2"/>
        <v>7.8871175977032326</v>
      </c>
      <c r="P33" s="3">
        <f t="shared" si="3"/>
        <v>3.0318646163414904</v>
      </c>
      <c r="Q33" s="5">
        <f t="shared" si="4"/>
        <v>0.38440717775330041</v>
      </c>
      <c r="R33" s="3">
        <f t="shared" si="5"/>
        <v>-63.65586590726528</v>
      </c>
      <c r="S33" s="3">
        <f t="shared" si="6"/>
        <v>174.62104045408253</v>
      </c>
      <c r="T33" s="3">
        <f t="shared" si="7"/>
        <v>121.72309363865219</v>
      </c>
      <c r="U33" s="3">
        <f>VLOOKUP($A33,'Summary Data (40)'!$C$2:$N$247,11,0)</f>
        <v>0</v>
      </c>
      <c r="V33" s="3">
        <f>VLOOKUP($A33,'Summary Data (40)'!$C$2:$N$247,12,1)</f>
        <v>0</v>
      </c>
      <c r="W33" s="3">
        <f>VLOOKUP($A33,'Summary Data (40)'!$C$2:$N$247,11,1)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(40)'!$C$2:$L$247,3,0)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(40)'!$C$2:$L$247,5,1)</f>
        <v>-12.106350000000001</v>
      </c>
      <c r="G34" s="3">
        <f>VLOOKUP($A34,'Summary Data (40)'!$C$2:$L$247,6,1)</f>
        <v>1.780057</v>
      </c>
      <c r="H34" s="3">
        <f>VLOOKUP($A34,'Summary Data (40)'!$C$2:$L$247,7,1)</f>
        <v>-8.0364509999999996</v>
      </c>
      <c r="I34" s="3" t="str">
        <f>VLOOKUP($A34,'Summary Data (40)'!$C$2:$L$247,4,0)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18.349407974970227</v>
      </c>
      <c r="N34" s="3">
        <f t="shared" si="1"/>
        <v>10.487334889565652</v>
      </c>
      <c r="O34" s="3">
        <f t="shared" si="2"/>
        <v>8.0292617967033557</v>
      </c>
      <c r="P34" s="3">
        <f t="shared" si="3"/>
        <v>2.4580730928622962</v>
      </c>
      <c r="Q34" s="5">
        <f t="shared" si="4"/>
        <v>0.30613936313192935</v>
      </c>
      <c r="R34" s="3">
        <f t="shared" si="5"/>
        <v>23.666151625811782</v>
      </c>
      <c r="S34" s="3">
        <f t="shared" si="6"/>
        <v>-140.78485474181446</v>
      </c>
      <c r="T34" s="3">
        <f t="shared" si="7"/>
        <v>164.45100636762623</v>
      </c>
      <c r="U34" s="3">
        <f>VLOOKUP($A34,'Summary Data (40)'!$C$2:$N$247,11,0)</f>
        <v>0</v>
      </c>
      <c r="V34" s="3">
        <f>VLOOKUP($A34,'Summary Data (40)'!$C$2:$N$247,12,1)</f>
        <v>0</v>
      </c>
      <c r="W34" s="3">
        <f>VLOOKUP($A34,'Summary Data (40)'!$C$2:$N$247,11,1)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(40)'!$C$2:$L$247,3,0)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(40)'!$C$2:$L$247,5,1)</f>
        <v>-2.7132499999999999</v>
      </c>
      <c r="G35" s="3">
        <f>VLOOKUP($A35,'Summary Data (40)'!$C$2:$L$247,6,1)</f>
        <v>1.7946949999999999</v>
      </c>
      <c r="H35" s="3">
        <f>VLOOKUP($A35,'Summary Data (40)'!$C$2:$L$247,7,1)</f>
        <v>17.12848</v>
      </c>
      <c r="I35" s="3" t="str">
        <f>VLOOKUP($A35,'Summary Data (40)'!$C$2:$L$247,4,0)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17.095634275244073</v>
      </c>
      <c r="N35" s="3">
        <f t="shared" si="1"/>
        <v>18.996477745963855</v>
      </c>
      <c r="O35" s="3">
        <f t="shared" si="2"/>
        <v>8.0641771433916301</v>
      </c>
      <c r="P35" s="3">
        <f t="shared" si="3"/>
        <v>10.932300602572225</v>
      </c>
      <c r="Q35" s="5">
        <f t="shared" si="4"/>
        <v>1.3556622589238312</v>
      </c>
      <c r="R35" s="3">
        <f t="shared" si="5"/>
        <v>174.57078263739461</v>
      </c>
      <c r="S35" s="3">
        <f t="shared" si="6"/>
        <v>110.43092393566127</v>
      </c>
      <c r="T35" s="3">
        <f t="shared" si="7"/>
        <v>64.139858701733345</v>
      </c>
      <c r="U35" s="3">
        <f>VLOOKUP($A35,'Summary Data (40)'!$C$2:$N$247,11,0)</f>
        <v>0</v>
      </c>
      <c r="V35" s="3">
        <f>VLOOKUP($A35,'Summary Data (40)'!$C$2:$N$247,12,1)</f>
        <v>0</v>
      </c>
      <c r="W35" s="3">
        <f>VLOOKUP($A35,'Summary Data (40)'!$C$2:$N$247,11,1)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(40)'!$C$2:$L$247,3,0)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(40)'!$C$2:$L$247,5,1)</f>
        <v>-8.4677000000000007</v>
      </c>
      <c r="G36" s="3">
        <f>VLOOKUP($A36,'Summary Data (40)'!$C$2:$L$247,6,1)</f>
        <v>1.7723070000000001</v>
      </c>
      <c r="H36" s="3">
        <f>VLOOKUP($A36,'Summary Data (40)'!$C$2:$L$247,7,1)</f>
        <v>-5.182963</v>
      </c>
      <c r="I36" s="3" t="str">
        <f>VLOOKUP($A36,'Summary Data (40)'!$C$2:$L$247,4,0)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13.181249210578221</v>
      </c>
      <c r="N36" s="3">
        <f t="shared" si="1"/>
        <v>13.755059377965951</v>
      </c>
      <c r="O36" s="3">
        <f t="shared" si="2"/>
        <v>2.5489458605470614</v>
      </c>
      <c r="P36" s="3">
        <f t="shared" si="3"/>
        <v>11.20611351741889</v>
      </c>
      <c r="Q36" s="5">
        <f t="shared" si="4"/>
        <v>4.3963717279635768</v>
      </c>
      <c r="R36" s="3">
        <f t="shared" si="5"/>
        <v>-77.654050540796021</v>
      </c>
      <c r="S36" s="3">
        <f t="shared" si="6"/>
        <v>-149.4093486893963</v>
      </c>
      <c r="T36" s="3">
        <f t="shared" si="7"/>
        <v>71.755298148600275</v>
      </c>
      <c r="U36" s="3">
        <f>VLOOKUP($A36,'Summary Data (40)'!$C$2:$N$247,11,0)</f>
        <v>0</v>
      </c>
      <c r="V36" s="3">
        <f>VLOOKUP($A36,'Summary Data (40)'!$C$2:$N$247,12,1)</f>
        <v>0</v>
      </c>
      <c r="W36" s="3">
        <f>VLOOKUP($A36,'Summary Data (40)'!$C$2:$N$247,11,1)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(40)'!$C$2:$L$247,3,0)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(40)'!$C$2:$L$247,5,1)</f>
        <v>6.5872950000000001</v>
      </c>
      <c r="G37" s="3">
        <f>VLOOKUP($A37,'Summary Data (40)'!$C$2:$L$247,6,1)</f>
        <v>1.784043</v>
      </c>
      <c r="H37" s="3">
        <f>VLOOKUP($A37,'Summary Data (40)'!$C$2:$L$247,7,1)</f>
        <v>9.0236640000000001</v>
      </c>
      <c r="I37" s="3" t="str">
        <f>VLOOKUP($A37,'Summary Data (40)'!$C$2:$L$247,4,0)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9.1031689257049937</v>
      </c>
      <c r="N37" s="3">
        <f t="shared" si="1"/>
        <v>11.731156085054916</v>
      </c>
      <c r="O37" s="3">
        <f t="shared" si="2"/>
        <v>4.3329067610554466</v>
      </c>
      <c r="P37" s="3">
        <f t="shared" si="3"/>
        <v>7.3982493239994698</v>
      </c>
      <c r="Q37" s="5">
        <f t="shared" si="4"/>
        <v>1.7074563871292123</v>
      </c>
      <c r="R37" s="3">
        <f t="shared" si="5"/>
        <v>-19.074748100261683</v>
      </c>
      <c r="S37" s="3">
        <f t="shared" si="6"/>
        <v>24.601122946048655</v>
      </c>
      <c r="T37" s="3">
        <f t="shared" si="7"/>
        <v>43.675871046310334</v>
      </c>
      <c r="U37" s="3">
        <f>VLOOKUP($A37,'Summary Data (40)'!$C$2:$N$247,11,0)</f>
        <v>0</v>
      </c>
      <c r="V37" s="3">
        <f>VLOOKUP($A37,'Summary Data (40)'!$C$2:$N$247,12,1)</f>
        <v>0</v>
      </c>
      <c r="W37" s="3">
        <f>VLOOKUP($A37,'Summary Data (40)'!$C$2:$N$247,11,1)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(40)'!$C$2:$L$247,3,0)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(40)'!$C$2:$L$247,5,1)</f>
        <v>3.3898649999999999</v>
      </c>
      <c r="G38" s="3">
        <f>VLOOKUP($A38,'Summary Data (40)'!$C$2:$L$247,6,1)</f>
        <v>1.7883439999999999</v>
      </c>
      <c r="H38" s="3">
        <f>VLOOKUP($A38,'Summary Data (40)'!$C$2:$L$247,7,1)</f>
        <v>1.8079769999999999</v>
      </c>
      <c r="I38" s="3" t="str">
        <f>VLOOKUP($A38,'Summary Data (40)'!$C$2:$L$247,4,0)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1.912701633815346E-2</v>
      </c>
      <c r="N38" s="3">
        <f t="shared" si="1"/>
        <v>8.0411006090431432</v>
      </c>
      <c r="O38" s="3">
        <f t="shared" si="2"/>
        <v>8.0292617967033557</v>
      </c>
      <c r="P38" s="3">
        <f t="shared" si="3"/>
        <v>1.1838812339787452E-2</v>
      </c>
      <c r="Q38" s="5">
        <f t="shared" si="4"/>
        <v>1.4744583798037595E-3</v>
      </c>
      <c r="R38" s="3">
        <f t="shared" si="5"/>
        <v>23.666151625811782</v>
      </c>
      <c r="S38" s="3">
        <f t="shared" si="6"/>
        <v>23.55902960623752</v>
      </c>
      <c r="T38" s="3">
        <f t="shared" si="7"/>
        <v>0.10712201957426259</v>
      </c>
      <c r="U38" s="3">
        <f>VLOOKUP($A38,'Summary Data (40)'!$C$2:$N$247,11,0)</f>
        <v>0</v>
      </c>
      <c r="V38" s="3">
        <f>VLOOKUP($A38,'Summary Data (40)'!$C$2:$N$247,12,1)</f>
        <v>0</v>
      </c>
      <c r="W38" s="3">
        <f>VLOOKUP($A38,'Summary Data (40)'!$C$2:$N$247,11,1)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(40)'!$C$2:$L$247,3,0)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(40)'!$C$2:$L$247,5,1)</f>
        <v>0.12746189999999999</v>
      </c>
      <c r="G39" s="3">
        <f>VLOOKUP($A39,'Summary Data (40)'!$C$2:$L$247,6,1)</f>
        <v>1.7842070000000001</v>
      </c>
      <c r="H39" s="3">
        <f>VLOOKUP($A39,'Summary Data (40)'!$C$2:$L$247,7,1)</f>
        <v>13.443099999999999</v>
      </c>
      <c r="I39" s="3" t="str">
        <f>VLOOKUP($A39,'Summary Data (40)'!$C$2:$L$247,4,0)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14.00933128182611</v>
      </c>
      <c r="N39" s="3">
        <f t="shared" si="1"/>
        <v>14.616171123025058</v>
      </c>
      <c r="O39" s="3">
        <f t="shared" si="2"/>
        <v>8.0641771433916301</v>
      </c>
      <c r="P39" s="3">
        <f t="shared" si="3"/>
        <v>6.5519939796334281</v>
      </c>
      <c r="Q39" s="5">
        <f t="shared" si="4"/>
        <v>0.81248140549623293</v>
      </c>
      <c r="R39" s="3">
        <f t="shared" si="5"/>
        <v>174.57078263739461</v>
      </c>
      <c r="S39" s="3">
        <f t="shared" si="6"/>
        <v>105.03082365570715</v>
      </c>
      <c r="T39" s="3">
        <f t="shared" si="7"/>
        <v>69.539958981687462</v>
      </c>
      <c r="U39" s="3">
        <f>VLOOKUP($A39,'Summary Data (40)'!$C$2:$N$247,11,0)</f>
        <v>0</v>
      </c>
      <c r="V39" s="3">
        <f>VLOOKUP($A39,'Summary Data (40)'!$C$2:$N$247,12,1)</f>
        <v>0</v>
      </c>
      <c r="W39" s="3">
        <f>VLOOKUP($A39,'Summary Data (40)'!$C$2:$N$247,11,1)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(40)'!$C$2:$L$247,3,0)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(40)'!$C$2:$L$247,5,1)</f>
        <v>-8.2341680000000004</v>
      </c>
      <c r="G40" s="3">
        <f>VLOOKUP($A40,'Summary Data (40)'!$C$2:$L$247,6,1)</f>
        <v>1.7691760000000001</v>
      </c>
      <c r="H40" s="3">
        <f>VLOOKUP($A40,'Summary Data (40)'!$C$2:$L$247,7,1)</f>
        <v>1.2613160000000001</v>
      </c>
      <c r="I40" s="3" t="str">
        <f>VLOOKUP($A40,'Summary Data (40)'!$C$2:$L$247,4,0)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13.018679483268647</v>
      </c>
      <c r="N40" s="3">
        <f t="shared" si="1"/>
        <v>8.3788254852383695</v>
      </c>
      <c r="O40" s="3">
        <f t="shared" si="2"/>
        <v>7.8871175977032326</v>
      </c>
      <c r="P40" s="3">
        <f t="shared" si="3"/>
        <v>0.49170788753513683</v>
      </c>
      <c r="Q40" s="5">
        <f t="shared" si="4"/>
        <v>6.234316674551988E-2</v>
      </c>
      <c r="R40" s="3">
        <f t="shared" si="5"/>
        <v>-63.65586590726528</v>
      </c>
      <c r="S40" s="3">
        <f t="shared" si="6"/>
        <v>-169.94641679341566</v>
      </c>
      <c r="T40" s="3">
        <f t="shared" si="7"/>
        <v>106.29055088615038</v>
      </c>
      <c r="U40" s="3">
        <f>VLOOKUP($A40,'Summary Data (40)'!$C$2:$N$247,11,0)</f>
        <v>0</v>
      </c>
      <c r="V40" s="3">
        <f>VLOOKUP($A40,'Summary Data (40)'!$C$2:$N$247,12,1)</f>
        <v>0</v>
      </c>
      <c r="W40" s="3">
        <f>VLOOKUP($A40,'Summary Data (40)'!$C$2:$N$247,11,1)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(40)'!$C$2:$L$247,3,0)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(40)'!$C$2:$L$247,5,1)</f>
        <v>-6.0827629999999999</v>
      </c>
      <c r="G41" s="3">
        <f>VLOOKUP($A41,'Summary Data (40)'!$C$2:$L$247,6,1)</f>
        <v>1.767387</v>
      </c>
      <c r="H41" s="3">
        <f>VLOOKUP($A41,'Summary Data (40)'!$C$2:$L$247,7,1)</f>
        <v>-8.4332200000000004</v>
      </c>
      <c r="I41" s="3" t="str">
        <f>VLOOKUP($A41,'Summary Data (40)'!$C$2:$L$247,4,0)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12.731886243937659</v>
      </c>
      <c r="N41" s="3">
        <f t="shared" si="1"/>
        <v>6.7831824170199795</v>
      </c>
      <c r="O41" s="3">
        <f t="shared" si="2"/>
        <v>8.8659173242253964</v>
      </c>
      <c r="P41" s="3">
        <f t="shared" si="3"/>
        <v>-2.0827349072054169</v>
      </c>
      <c r="Q41" s="5">
        <f t="shared" si="4"/>
        <v>-0.234914767535054</v>
      </c>
      <c r="R41" s="3">
        <f t="shared" si="5"/>
        <v>111.35858600069317</v>
      </c>
      <c r="S41" s="3">
        <f t="shared" si="6"/>
        <v>-140.48264293578487</v>
      </c>
      <c r="T41" s="3">
        <f t="shared" si="7"/>
        <v>108.15877106352195</v>
      </c>
      <c r="U41" s="3">
        <f>VLOOKUP($A41,'Summary Data (40)'!$C$2:$N$247,11,0)</f>
        <v>0</v>
      </c>
      <c r="V41" s="3">
        <f>VLOOKUP($A41,'Summary Data (40)'!$C$2:$N$247,12,1)</f>
        <v>0</v>
      </c>
      <c r="W41" s="3">
        <f>VLOOKUP($A41,'Summary Data (40)'!$C$2:$N$247,11,1)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2.9637501229919505</v>
      </c>
      <c r="T42" s="3">
        <f>AVERAGE(T2:T41)</f>
        <v>80.186049830663634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2017-09-13T10:46:07Z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