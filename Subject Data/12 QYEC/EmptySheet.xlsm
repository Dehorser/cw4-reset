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2 QYEC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E39" i="3" l="1"/>
  <c r="C4" i="3"/>
  <c r="S4" i="3" s="1"/>
  <c r="C13" i="3"/>
  <c r="J18" i="3"/>
  <c r="D4" i="3"/>
  <c r="C12" i="3"/>
  <c r="S12" i="3" s="1"/>
  <c r="D13" i="3"/>
  <c r="C39" i="3"/>
  <c r="S39" i="3" s="1"/>
  <c r="D36" i="3"/>
  <c r="L40" i="3"/>
  <c r="D3" i="3"/>
  <c r="L7" i="3"/>
  <c r="L9" i="3"/>
  <c r="E12" i="3"/>
  <c r="N12" i="3" s="1"/>
  <c r="C22" i="3"/>
  <c r="C28" i="3"/>
  <c r="S28" i="3" s="1"/>
  <c r="J29" i="3"/>
  <c r="J5" i="3"/>
  <c r="M5" i="3" s="1"/>
  <c r="E22" i="3"/>
  <c r="L25" i="3"/>
  <c r="M25" i="3" s="1"/>
  <c r="E28" i="3"/>
  <c r="K29" i="3"/>
  <c r="D35" i="3"/>
  <c r="C36" i="3"/>
  <c r="S36" i="3" s="1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N32" i="3" s="1"/>
  <c r="E33" i="3"/>
  <c r="J36" i="3"/>
  <c r="J40" i="3"/>
  <c r="D16" i="3"/>
  <c r="K21" i="3"/>
  <c r="J27" i="3"/>
  <c r="J7" i="3"/>
  <c r="J9" i="3"/>
  <c r="O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S20" i="3" s="1"/>
  <c r="L21" i="3"/>
  <c r="J23" i="3"/>
  <c r="M23" i="3" s="1"/>
  <c r="C24" i="3"/>
  <c r="S24" i="3" s="1"/>
  <c r="C26" i="3"/>
  <c r="D27" i="3"/>
  <c r="N28" i="3"/>
  <c r="K28" i="3"/>
  <c r="C30" i="3"/>
  <c r="D31" i="3"/>
  <c r="S32" i="3"/>
  <c r="K32" i="3"/>
  <c r="J33" i="3"/>
  <c r="D40" i="3"/>
  <c r="J41" i="3"/>
  <c r="M41" i="3" s="1"/>
  <c r="S9" i="3"/>
  <c r="N3" i="3"/>
  <c r="K6" i="3"/>
  <c r="N13" i="3"/>
  <c r="N16" i="3"/>
  <c r="D17" i="3"/>
  <c r="D20" i="3"/>
  <c r="L23" i="3"/>
  <c r="D24" i="3"/>
  <c r="E26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C10" i="3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V7" i="3"/>
  <c r="L8" i="3"/>
  <c r="W9" i="3"/>
  <c r="V14" i="3"/>
  <c r="Y14" i="3" s="1"/>
  <c r="M18" i="3"/>
  <c r="J19" i="3"/>
  <c r="L19" i="3"/>
  <c r="K19" i="3"/>
  <c r="L22" i="3"/>
  <c r="J22" i="3"/>
  <c r="K22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E41" i="3"/>
  <c r="D41" i="3"/>
  <c r="L34" i="3"/>
  <c r="K34" i="3"/>
  <c r="L38" i="3"/>
  <c r="K38" i="3"/>
  <c r="M33" i="3"/>
  <c r="J34" i="3"/>
  <c r="K35" i="3"/>
  <c r="J35" i="3"/>
  <c r="N36" i="3"/>
  <c r="J38" i="3"/>
  <c r="K39" i="3"/>
  <c r="J39" i="3"/>
  <c r="M40" i="3"/>
  <c r="M9" i="3" l="1"/>
  <c r="N30" i="3"/>
  <c r="M36" i="3"/>
  <c r="M13" i="3"/>
  <c r="M4" i="3"/>
  <c r="R36" i="3"/>
  <c r="N4" i="3"/>
  <c r="N20" i="3"/>
  <c r="O13" i="3"/>
  <c r="P13" i="3" s="1"/>
  <c r="Q13" i="3" s="1"/>
  <c r="O5" i="3"/>
  <c r="R4" i="3"/>
  <c r="T4" i="3" s="1"/>
  <c r="T36" i="3"/>
  <c r="S34" i="3"/>
  <c r="O37" i="3"/>
  <c r="O33" i="3"/>
  <c r="S25" i="3"/>
  <c r="O10" i="3"/>
  <c r="M27" i="3"/>
  <c r="M7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T6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T30" i="3" s="1"/>
  <c r="N33" i="3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O34" i="3"/>
  <c r="P34" i="3" s="1"/>
  <c r="Q34" i="3" s="1"/>
  <c r="R34" i="3"/>
  <c r="M34" i="3"/>
  <c r="R24" i="3"/>
  <c r="T24" i="3" s="1"/>
  <c r="M24" i="3"/>
  <c r="O24" i="3"/>
  <c r="S41" i="3"/>
  <c r="R41" i="3"/>
  <c r="O29" i="3"/>
  <c r="R26" i="3"/>
  <c r="O26" i="3"/>
  <c r="M26" i="3"/>
  <c r="N25" i="3"/>
  <c r="R21" i="3"/>
  <c r="T21" i="3" s="1"/>
  <c r="O8" i="3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R25" i="3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R31" i="3"/>
  <c r="R27" i="3"/>
  <c r="R37" i="3"/>
  <c r="O30" i="3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25" i="3" l="1"/>
  <c r="P27" i="3"/>
  <c r="Q27" i="3" s="1"/>
  <c r="P30" i="3"/>
  <c r="Q30" i="3" s="1"/>
  <c r="P18" i="3"/>
  <c r="Q18" i="3" s="1"/>
  <c r="T26" i="3"/>
  <c r="T33" i="3"/>
  <c r="T27" i="3"/>
  <c r="T38" i="3"/>
  <c r="P25" i="3"/>
  <c r="Q25" i="3" s="1"/>
  <c r="T34" i="3"/>
  <c r="T11" i="3"/>
  <c r="T31" i="3"/>
  <c r="T5" i="3"/>
  <c r="P6" i="3"/>
  <c r="Q6" i="3" s="1"/>
  <c r="P8" i="3"/>
  <c r="Q8" i="3" s="1"/>
  <c r="T7" i="3"/>
  <c r="P33" i="3"/>
  <c r="Q33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l="1"/>
  <c r="T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<sst xmlns="http://schemas.openxmlformats.org/spreadsheetml/2006/main" count="394" uniqueCount="37">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</sst>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activeCell="A2" sqref="A2:XFD2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42965.61509259259</v>
      </c>
      <c r="B2">
        <v>48.706000000000003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1.864994</v>
      </c>
      <c r="I2">
        <v>-4.117</v>
      </c>
      <c r="J2">
        <v>9.6639199999999992</v>
      </c>
      <c r="K2">
        <v>353.62299999999999</v>
      </c>
      <c r="L2">
        <v>2.1725970000000001</v>
      </c>
    </row>
    <row r="3" spans="1:12" x14ac:dyDescent="0.2">
      <c r="A3" s="1">
        <v>42965.615104166667</v>
      </c>
      <c r="B3">
        <v>49.87782</v>
      </c>
      <c r="C3">
        <v>0</v>
      </c>
      <c r="D3" t="s">
        <v>35</v>
      </c>
      <c r="E3" t="s">
        <v>0</v>
      </c>
      <c r="F3" t="s">
        <v>1</v>
      </c>
      <c r="G3">
        <v>-0.81522320000000004</v>
      </c>
      <c r="H3">
        <v>1.867953</v>
      </c>
      <c r="I3">
        <v>-4.0953220000000004</v>
      </c>
      <c r="J3">
        <v>359.803</v>
      </c>
      <c r="K3">
        <v>0.79122179999999998</v>
      </c>
      <c r="L3">
        <v>358.7389</v>
      </c>
    </row>
    <row r="4" spans="1:12" x14ac:dyDescent="0.2">
      <c r="A4" s="1">
        <v>42965.615115740744</v>
      </c>
      <c r="B4">
        <v>50.880710000000001</v>
      </c>
      <c r="C4">
        <v>0</v>
      </c>
      <c r="D4" t="s">
        <v>36</v>
      </c>
      <c r="E4" t="s">
        <v>0</v>
      </c>
      <c r="F4" t="s">
        <v>1</v>
      </c>
      <c r="G4">
        <v>-0.81621929999999998</v>
      </c>
      <c r="H4">
        <v>1.8676079999999999</v>
      </c>
      <c r="I4">
        <v>-4.0893579999999998</v>
      </c>
      <c r="J4">
        <v>358.90550000000002</v>
      </c>
      <c r="K4">
        <v>4.2916129999999999</v>
      </c>
      <c r="L4">
        <v>359.57139999999998</v>
      </c>
    </row>
    <row r="5" spans="1:12" x14ac:dyDescent="0.2">
      <c r="A5" s="1">
        <v>42965.61513888889</v>
      </c>
      <c r="B5">
        <v>52.4878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1.873769</v>
      </c>
      <c r="I5">
        <v>-4.3440000000000003</v>
      </c>
      <c r="J5">
        <v>356.85989999999998</v>
      </c>
      <c r="K5">
        <v>2.8306830000000001</v>
      </c>
      <c r="L5">
        <v>359.56880000000001</v>
      </c>
    </row>
    <row r="6" spans="1:12" x14ac:dyDescent="0.2">
      <c r="A6" s="1">
        <v>42965.61515046296</v>
      </c>
      <c r="B6">
        <v>53.776780000000002</v>
      </c>
      <c r="C6">
        <v>1</v>
      </c>
      <c r="D6" t="s">
        <v>35</v>
      </c>
      <c r="E6" t="s">
        <v>2</v>
      </c>
      <c r="F6" t="s">
        <v>0</v>
      </c>
      <c r="G6">
        <v>3.5106109999999999</v>
      </c>
      <c r="H6">
        <v>1.8657269999999999</v>
      </c>
      <c r="I6">
        <v>-4.3568340000000001</v>
      </c>
      <c r="J6">
        <v>358.97890000000001</v>
      </c>
      <c r="K6">
        <v>0.3586144</v>
      </c>
      <c r="L6">
        <v>358.9862</v>
      </c>
    </row>
    <row r="7" spans="1:12" x14ac:dyDescent="0.2">
      <c r="A7" s="1">
        <v>42965.615162037036</v>
      </c>
      <c r="B7">
        <v>54.781170000000003</v>
      </c>
      <c r="C7">
        <v>1</v>
      </c>
      <c r="D7" t="s">
        <v>36</v>
      </c>
      <c r="E7" t="s">
        <v>2</v>
      </c>
      <c r="F7" t="s">
        <v>0</v>
      </c>
      <c r="G7">
        <v>3.5039829999999998</v>
      </c>
      <c r="H7">
        <v>1.8653470000000001</v>
      </c>
      <c r="I7">
        <v>-4.3532729999999997</v>
      </c>
      <c r="J7">
        <v>359.57049999999998</v>
      </c>
      <c r="K7">
        <v>4.4474060000000003E-2</v>
      </c>
      <c r="L7">
        <v>359.43259999999998</v>
      </c>
    </row>
    <row r="8" spans="1:12" x14ac:dyDescent="0.2">
      <c r="A8" s="1">
        <v>42965.615173611113</v>
      </c>
      <c r="B8">
        <v>55.986510000000003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1.863551</v>
      </c>
      <c r="I8">
        <v>1.8169999999999999</v>
      </c>
      <c r="J8">
        <v>1.8259030000000001</v>
      </c>
      <c r="K8">
        <v>359.94670000000002</v>
      </c>
      <c r="L8">
        <v>358.78309999999999</v>
      </c>
    </row>
    <row r="9" spans="1:12" x14ac:dyDescent="0.2">
      <c r="A9" s="1">
        <v>42965.61519675926</v>
      </c>
      <c r="B9">
        <v>57.541969999999999</v>
      </c>
      <c r="C9">
        <v>2</v>
      </c>
      <c r="D9" t="s">
        <v>35</v>
      </c>
      <c r="E9" t="s">
        <v>3</v>
      </c>
      <c r="F9" t="s">
        <v>4</v>
      </c>
      <c r="G9">
        <v>3.3878840000000001</v>
      </c>
      <c r="H9">
        <v>1.861748</v>
      </c>
      <c r="I9">
        <v>1.8164689999999999</v>
      </c>
      <c r="J9">
        <v>3.5983200000000002</v>
      </c>
      <c r="K9">
        <v>0.9541193</v>
      </c>
      <c r="L9">
        <v>358.74149999999997</v>
      </c>
    </row>
    <row r="10" spans="1:12" x14ac:dyDescent="0.2">
      <c r="A10" s="1">
        <v>42965.615208333336</v>
      </c>
      <c r="B10">
        <v>58.564579999999999</v>
      </c>
      <c r="C10">
        <v>2</v>
      </c>
      <c r="D10" t="s">
        <v>36</v>
      </c>
      <c r="E10" t="s">
        <v>3</v>
      </c>
      <c r="F10" t="s">
        <v>4</v>
      </c>
      <c r="G10">
        <v>3.3896959999999998</v>
      </c>
      <c r="H10">
        <v>1.860179</v>
      </c>
      <c r="I10">
        <v>1.815977</v>
      </c>
      <c r="J10">
        <v>4.4040350000000004</v>
      </c>
      <c r="K10">
        <v>359.3331</v>
      </c>
      <c r="L10">
        <v>359.55919999999998</v>
      </c>
    </row>
    <row r="11" spans="1:12" x14ac:dyDescent="0.2">
      <c r="A11" s="1">
        <v>42965.615219907406</v>
      </c>
      <c r="B11">
        <v>59.585769999999997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1.861793</v>
      </c>
      <c r="I11">
        <v>4.1399999999999997</v>
      </c>
      <c r="J11">
        <v>3.3662770000000002</v>
      </c>
      <c r="K11">
        <v>359.63799999999998</v>
      </c>
      <c r="L11">
        <v>359.27350000000001</v>
      </c>
    </row>
    <row r="12" spans="1:12" x14ac:dyDescent="0.2">
      <c r="A12" s="1">
        <v>42965.615231481483</v>
      </c>
      <c r="B12">
        <v>60.606960000000001</v>
      </c>
      <c r="C12">
        <v>3</v>
      </c>
      <c r="D12" t="s">
        <v>35</v>
      </c>
      <c r="E12" t="s">
        <v>1</v>
      </c>
      <c r="F12" t="s">
        <v>5</v>
      </c>
      <c r="G12">
        <v>-4.0863490000000002</v>
      </c>
      <c r="H12">
        <v>1.8613200000000001</v>
      </c>
      <c r="I12">
        <v>4.1392249999999997</v>
      </c>
      <c r="J12">
        <v>2.9264109999999999</v>
      </c>
      <c r="K12">
        <v>0.29845319999999997</v>
      </c>
      <c r="L12">
        <v>359.35309999999998</v>
      </c>
    </row>
    <row r="13" spans="1:12" x14ac:dyDescent="0.2">
      <c r="A13" s="1">
        <v>42965.615243055552</v>
      </c>
      <c r="B13">
        <v>61.661659999999998</v>
      </c>
      <c r="C13">
        <v>3</v>
      </c>
      <c r="D13" t="s">
        <v>36</v>
      </c>
      <c r="E13" t="s">
        <v>1</v>
      </c>
      <c r="F13" t="s">
        <v>5</v>
      </c>
      <c r="G13">
        <v>-4.0818019999999997</v>
      </c>
      <c r="H13">
        <v>1.8605510000000001</v>
      </c>
      <c r="I13">
        <v>4.1434369999999996</v>
      </c>
      <c r="J13">
        <v>3.719932</v>
      </c>
      <c r="K13">
        <v>359.79969999999997</v>
      </c>
      <c r="L13">
        <v>359.39909999999998</v>
      </c>
    </row>
    <row r="14" spans="1:12" x14ac:dyDescent="0.2">
      <c r="A14" s="1">
        <v>42965.615254629629</v>
      </c>
      <c r="B14">
        <v>62.699620000000003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1.861172</v>
      </c>
      <c r="I14">
        <v>-0.67300000000000004</v>
      </c>
      <c r="J14">
        <v>3.348643</v>
      </c>
      <c r="K14">
        <v>0.39790750000000003</v>
      </c>
      <c r="L14">
        <v>359.29730000000001</v>
      </c>
    </row>
    <row r="15" spans="1:12" x14ac:dyDescent="0.2">
      <c r="A15" s="1">
        <v>42965.615266203706</v>
      </c>
      <c r="B15">
        <v>63.70402</v>
      </c>
      <c r="C15">
        <v>4</v>
      </c>
      <c r="D15" t="s">
        <v>35</v>
      </c>
      <c r="E15" t="s">
        <v>4</v>
      </c>
      <c r="F15" t="s">
        <v>6</v>
      </c>
      <c r="G15">
        <v>3.9193220000000002</v>
      </c>
      <c r="H15">
        <v>1.8611180000000001</v>
      </c>
      <c r="I15">
        <v>-0.67385729999999999</v>
      </c>
      <c r="J15">
        <v>3.6517520000000001</v>
      </c>
      <c r="K15">
        <v>0.57054689999999997</v>
      </c>
      <c r="L15">
        <v>359.29360000000003</v>
      </c>
    </row>
    <row r="16" spans="1:12" x14ac:dyDescent="0.2">
      <c r="A16" s="1">
        <v>42965.615277777775</v>
      </c>
      <c r="B16">
        <v>64.741969999999995</v>
      </c>
      <c r="C16">
        <v>4</v>
      </c>
      <c r="D16" t="s">
        <v>36</v>
      </c>
      <c r="E16" t="s">
        <v>4</v>
      </c>
      <c r="F16" t="s">
        <v>6</v>
      </c>
      <c r="G16">
        <v>3.9162539999999999</v>
      </c>
      <c r="H16">
        <v>1.8618239999999999</v>
      </c>
      <c r="I16">
        <v>-0.66830809999999996</v>
      </c>
      <c r="J16">
        <v>3.3465090000000002</v>
      </c>
      <c r="K16">
        <v>0.69118579999999996</v>
      </c>
      <c r="L16">
        <v>359.23480000000001</v>
      </c>
    </row>
    <row r="17" spans="1:12" x14ac:dyDescent="0.2">
      <c r="A17" s="1">
        <v>42965.615289351852</v>
      </c>
      <c r="B17">
        <v>65.779880000000006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1.860938</v>
      </c>
      <c r="I17">
        <v>-4.117</v>
      </c>
      <c r="J17">
        <v>3.6458819999999998</v>
      </c>
      <c r="K17">
        <v>1.0211950000000001</v>
      </c>
      <c r="L17">
        <v>359.5675</v>
      </c>
    </row>
    <row r="18" spans="1:12" x14ac:dyDescent="0.2">
      <c r="A18" s="1">
        <v>42965.615300925929</v>
      </c>
      <c r="B18">
        <v>66.78425</v>
      </c>
      <c r="C18">
        <v>5</v>
      </c>
      <c r="D18" t="s">
        <v>35</v>
      </c>
      <c r="E18" t="s">
        <v>0</v>
      </c>
      <c r="F18" t="s">
        <v>1</v>
      </c>
      <c r="G18">
        <v>-0.84860150000000001</v>
      </c>
      <c r="H18">
        <v>1.8607260000000001</v>
      </c>
      <c r="I18">
        <v>-4.1180490000000001</v>
      </c>
      <c r="J18">
        <v>3.4925890000000002</v>
      </c>
      <c r="K18">
        <v>1.0241439999999999</v>
      </c>
      <c r="L18">
        <v>359.48899999999998</v>
      </c>
    </row>
    <row r="19" spans="1:12" x14ac:dyDescent="0.2">
      <c r="A19" s="1">
        <v>42965.615312499998</v>
      </c>
      <c r="B19">
        <v>67.805350000000004</v>
      </c>
      <c r="C19">
        <v>5</v>
      </c>
      <c r="D19" t="s">
        <v>36</v>
      </c>
      <c r="E19" t="s">
        <v>0</v>
      </c>
      <c r="F19" t="s">
        <v>1</v>
      </c>
      <c r="G19">
        <v>-0.86091989999999996</v>
      </c>
      <c r="H19">
        <v>1.8631070000000001</v>
      </c>
      <c r="I19">
        <v>-4.1060119999999998</v>
      </c>
      <c r="J19">
        <v>2.9017970000000002</v>
      </c>
      <c r="K19">
        <v>0.94324759999999996</v>
      </c>
      <c r="L19">
        <v>359.54309999999998</v>
      </c>
    </row>
    <row r="20" spans="1:12" x14ac:dyDescent="0.2">
      <c r="A20" s="1">
        <v>42965.615324074075</v>
      </c>
      <c r="B20">
        <v>68.876720000000006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1.861116</v>
      </c>
      <c r="I20">
        <v>-1.4059999999999999</v>
      </c>
      <c r="J20">
        <v>3.5636939999999999</v>
      </c>
      <c r="K20">
        <v>2.6473909999999998</v>
      </c>
      <c r="L20">
        <v>359.142</v>
      </c>
    </row>
    <row r="21" spans="1:12" x14ac:dyDescent="0.2">
      <c r="A21" s="1">
        <v>42965.615335648145</v>
      </c>
      <c r="B21">
        <v>69.881159999999994</v>
      </c>
      <c r="C21">
        <v>6</v>
      </c>
      <c r="D21" t="s">
        <v>35</v>
      </c>
      <c r="E21" t="s">
        <v>33</v>
      </c>
      <c r="F21" t="s">
        <v>3</v>
      </c>
      <c r="G21">
        <v>-3.977697</v>
      </c>
      <c r="H21">
        <v>1.8607</v>
      </c>
      <c r="I21">
        <v>-1.39594</v>
      </c>
      <c r="J21">
        <v>4.4929629999999996</v>
      </c>
      <c r="K21">
        <v>1.447222</v>
      </c>
      <c r="L21">
        <v>359.44040000000001</v>
      </c>
    </row>
    <row r="22" spans="1:12" x14ac:dyDescent="0.2">
      <c r="A22" s="1">
        <v>42965.615347222221</v>
      </c>
      <c r="B22">
        <v>70.969380000000001</v>
      </c>
      <c r="C22">
        <v>6</v>
      </c>
      <c r="D22" t="s">
        <v>36</v>
      </c>
      <c r="E22" t="s">
        <v>33</v>
      </c>
      <c r="F22" t="s">
        <v>3</v>
      </c>
      <c r="G22">
        <v>-3.9592350000000001</v>
      </c>
      <c r="H22">
        <v>1.8587309999999999</v>
      </c>
      <c r="I22">
        <v>-1.411896</v>
      </c>
      <c r="J22">
        <v>3.9110269999999998</v>
      </c>
      <c r="K22">
        <v>2.017817</v>
      </c>
      <c r="L22">
        <v>359.54199999999997</v>
      </c>
    </row>
    <row r="23" spans="1:12" x14ac:dyDescent="0.2">
      <c r="A23" s="1">
        <v>42965.615358796298</v>
      </c>
      <c r="B23">
        <v>71.990549999999999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1.860509</v>
      </c>
      <c r="I23">
        <v>4.1399999999999997</v>
      </c>
      <c r="J23">
        <v>4.090776</v>
      </c>
      <c r="K23">
        <v>1.359154</v>
      </c>
      <c r="L23">
        <v>359.71449999999999</v>
      </c>
    </row>
    <row r="24" spans="1:12" x14ac:dyDescent="0.2">
      <c r="A24" s="1">
        <v>42965.615370370368</v>
      </c>
      <c r="B24">
        <v>73.078670000000002</v>
      </c>
      <c r="C24">
        <v>7</v>
      </c>
      <c r="D24" t="s">
        <v>35</v>
      </c>
      <c r="E24" t="s">
        <v>1</v>
      </c>
      <c r="F24" t="s">
        <v>5</v>
      </c>
      <c r="G24">
        <v>-4.0854670000000004</v>
      </c>
      <c r="H24">
        <v>1.860241</v>
      </c>
      <c r="I24">
        <v>4.1447839999999996</v>
      </c>
      <c r="J24">
        <v>3.7067139999999998</v>
      </c>
      <c r="K24">
        <v>0.98125960000000001</v>
      </c>
      <c r="L24">
        <v>359.10160000000002</v>
      </c>
    </row>
    <row r="25" spans="1:12" x14ac:dyDescent="0.2">
      <c r="A25" s="1">
        <v>42965.615381944444</v>
      </c>
      <c r="B25">
        <v>74.083070000000006</v>
      </c>
      <c r="C25">
        <v>7</v>
      </c>
      <c r="D25" t="s">
        <v>36</v>
      </c>
      <c r="E25" t="s">
        <v>1</v>
      </c>
      <c r="F25" t="s">
        <v>5</v>
      </c>
      <c r="G25">
        <v>-4.0749399999999998</v>
      </c>
      <c r="H25">
        <v>1.8617589999999999</v>
      </c>
      <c r="I25">
        <v>4.1441410000000003</v>
      </c>
      <c r="J25">
        <v>4.1767560000000001</v>
      </c>
      <c r="K25">
        <v>1.793123</v>
      </c>
      <c r="L25">
        <v>359.78120000000001</v>
      </c>
    </row>
    <row r="26" spans="1:12" x14ac:dyDescent="0.2">
      <c r="A26" s="1">
        <v>42965.615393518521</v>
      </c>
      <c r="B26">
        <v>75.204679999999996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1.8604160000000001</v>
      </c>
      <c r="I26">
        <v>-4.3440000000000003</v>
      </c>
      <c r="J26">
        <v>3.634134</v>
      </c>
      <c r="K26">
        <v>2.0000439999999999</v>
      </c>
      <c r="L26">
        <v>359.38459999999998</v>
      </c>
    </row>
    <row r="27" spans="1:12" x14ac:dyDescent="0.2">
      <c r="A27" s="1">
        <v>42965.615405092591</v>
      </c>
      <c r="B27">
        <v>76.242580000000004</v>
      </c>
      <c r="C27">
        <v>8</v>
      </c>
      <c r="D27" t="s">
        <v>35</v>
      </c>
      <c r="E27" t="s">
        <v>2</v>
      </c>
      <c r="F27" t="s">
        <v>0</v>
      </c>
      <c r="G27">
        <v>3.5191119999999998</v>
      </c>
      <c r="H27">
        <v>1.8608640000000001</v>
      </c>
      <c r="I27">
        <v>-4.3457169999999996</v>
      </c>
      <c r="J27">
        <v>4.0736270000000001</v>
      </c>
      <c r="K27">
        <v>2.0976089999999998</v>
      </c>
      <c r="L27">
        <v>358.9196</v>
      </c>
    </row>
    <row r="28" spans="1:12" x14ac:dyDescent="0.2">
      <c r="A28" s="1">
        <v>42965.615416666667</v>
      </c>
      <c r="B28">
        <v>77.263779999999997</v>
      </c>
      <c r="C28">
        <v>8</v>
      </c>
      <c r="D28" t="s">
        <v>36</v>
      </c>
      <c r="E28" t="s">
        <v>2</v>
      </c>
      <c r="F28" t="s">
        <v>0</v>
      </c>
      <c r="G28">
        <v>3.5183430000000002</v>
      </c>
      <c r="H28">
        <v>1.861621</v>
      </c>
      <c r="I28">
        <v>-4.3467359999999999</v>
      </c>
      <c r="J28">
        <v>4.1975420000000003</v>
      </c>
      <c r="K28">
        <v>1.806937</v>
      </c>
      <c r="L28">
        <v>359.47</v>
      </c>
    </row>
    <row r="29" spans="1:12" x14ac:dyDescent="0.2">
      <c r="A29" s="1">
        <v>42965.615428240744</v>
      </c>
      <c r="B29">
        <v>78.284869999999998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1.8605020000000001</v>
      </c>
      <c r="I29">
        <v>-1.4059999999999999</v>
      </c>
      <c r="J29">
        <v>4.723992</v>
      </c>
      <c r="K29">
        <v>2.5373350000000001</v>
      </c>
      <c r="L29">
        <v>359.37049999999999</v>
      </c>
    </row>
    <row r="30" spans="1:12" x14ac:dyDescent="0.2">
      <c r="A30" s="1">
        <v>42965.615439814814</v>
      </c>
      <c r="B30">
        <v>79.406369999999995</v>
      </c>
      <c r="C30">
        <v>9</v>
      </c>
      <c r="D30" t="s">
        <v>35</v>
      </c>
      <c r="E30" t="s">
        <v>33</v>
      </c>
      <c r="F30" t="s">
        <v>3</v>
      </c>
      <c r="G30">
        <v>-3.9918269999999998</v>
      </c>
      <c r="H30">
        <v>1.8611800000000001</v>
      </c>
      <c r="I30">
        <v>-1.4055759999999999</v>
      </c>
      <c r="J30">
        <v>3.9552619999999998</v>
      </c>
      <c r="K30">
        <v>1.968599</v>
      </c>
      <c r="L30">
        <v>359.33789999999999</v>
      </c>
    </row>
    <row r="31" spans="1:12" x14ac:dyDescent="0.2">
      <c r="A31" s="1">
        <v>42965.615451388891</v>
      </c>
      <c r="B31">
        <v>80.427419999999998</v>
      </c>
      <c r="C31">
        <v>9</v>
      </c>
      <c r="D31" t="s">
        <v>36</v>
      </c>
      <c r="E31" t="s">
        <v>33</v>
      </c>
      <c r="F31" t="s">
        <v>3</v>
      </c>
      <c r="G31">
        <v>-3.9978799999999999</v>
      </c>
      <c r="H31">
        <v>1.861974</v>
      </c>
      <c r="I31">
        <v>-1.4009670000000001</v>
      </c>
      <c r="J31">
        <v>3.5409169999999999</v>
      </c>
      <c r="K31">
        <v>2.2526809999999999</v>
      </c>
      <c r="L31">
        <v>359.75799999999998</v>
      </c>
    </row>
    <row r="32" spans="1:12" x14ac:dyDescent="0.2">
      <c r="A32" s="1">
        <v>42965.61546296296</v>
      </c>
      <c r="B32">
        <v>81.465249999999997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1.863453</v>
      </c>
      <c r="I32">
        <v>2.7240000000000002</v>
      </c>
      <c r="J32">
        <v>3.9542510000000002</v>
      </c>
      <c r="K32">
        <v>1.752921</v>
      </c>
      <c r="L32">
        <v>359.92540000000002</v>
      </c>
    </row>
    <row r="33" spans="1:12" x14ac:dyDescent="0.2">
      <c r="A33" s="1">
        <v>42965.615486111114</v>
      </c>
      <c r="B33">
        <v>82.503069999999994</v>
      </c>
      <c r="C33">
        <v>10</v>
      </c>
      <c r="D33" t="s">
        <v>35</v>
      </c>
      <c r="E33" t="s">
        <v>5</v>
      </c>
      <c r="F33" t="s">
        <v>2</v>
      </c>
      <c r="G33">
        <v>3.3937540000000002E-2</v>
      </c>
      <c r="H33">
        <v>1.8605480000000001</v>
      </c>
      <c r="I33">
        <v>2.7101549999999999</v>
      </c>
      <c r="J33">
        <v>4.4982470000000001</v>
      </c>
      <c r="K33">
        <v>3.1194579999999998</v>
      </c>
      <c r="L33">
        <v>359.15989999999999</v>
      </c>
    </row>
    <row r="34" spans="1:12" x14ac:dyDescent="0.2">
      <c r="A34" s="1">
        <v>42965.615497685183</v>
      </c>
      <c r="B34">
        <v>83.524119999999996</v>
      </c>
      <c r="C34">
        <v>10</v>
      </c>
      <c r="D34" t="s">
        <v>36</v>
      </c>
      <c r="E34" t="s">
        <v>5</v>
      </c>
      <c r="F34" t="s">
        <v>2</v>
      </c>
      <c r="G34">
        <v>2.7725070000000001E-2</v>
      </c>
      <c r="H34">
        <v>1.860862</v>
      </c>
      <c r="I34">
        <v>2.7115300000000002</v>
      </c>
      <c r="J34">
        <v>3.849316</v>
      </c>
      <c r="K34">
        <v>2.777774</v>
      </c>
      <c r="L34">
        <v>359.35210000000001</v>
      </c>
    </row>
    <row r="35" spans="1:12" x14ac:dyDescent="0.2">
      <c r="A35" s="1">
        <v>42965.61550925926</v>
      </c>
      <c r="B35">
        <v>84.545360000000002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1.8610139999999999</v>
      </c>
      <c r="I35">
        <v>-4.117</v>
      </c>
      <c r="J35">
        <v>4.1921720000000002</v>
      </c>
      <c r="K35">
        <v>2.6892269999999998</v>
      </c>
      <c r="L35">
        <v>359.38850000000002</v>
      </c>
    </row>
    <row r="36" spans="1:12" x14ac:dyDescent="0.2">
      <c r="A36" s="1">
        <v>42965.615520833337</v>
      </c>
      <c r="B36">
        <v>85.650189999999995</v>
      </c>
      <c r="C36">
        <v>11</v>
      </c>
      <c r="D36" t="s">
        <v>35</v>
      </c>
      <c r="E36" t="s">
        <v>0</v>
      </c>
      <c r="F36" t="s">
        <v>1</v>
      </c>
      <c r="G36">
        <v>-0.84603479999999998</v>
      </c>
      <c r="H36">
        <v>1.8612070000000001</v>
      </c>
      <c r="I36">
        <v>-4.1196970000000004</v>
      </c>
      <c r="J36">
        <v>4.0632849999999996</v>
      </c>
      <c r="K36">
        <v>3.2025769999999998</v>
      </c>
      <c r="L36">
        <v>358.9074</v>
      </c>
    </row>
    <row r="37" spans="1:12" x14ac:dyDescent="0.2">
      <c r="A37" s="1">
        <v>42965.615532407406</v>
      </c>
      <c r="B37">
        <v>86.671329999999998</v>
      </c>
      <c r="C37">
        <v>11</v>
      </c>
      <c r="D37" t="s">
        <v>36</v>
      </c>
      <c r="E37" t="s">
        <v>0</v>
      </c>
      <c r="F37" t="s">
        <v>1</v>
      </c>
      <c r="G37">
        <v>-0.84616599999999997</v>
      </c>
      <c r="H37">
        <v>1.8611869999999999</v>
      </c>
      <c r="I37">
        <v>-4.1199960000000004</v>
      </c>
      <c r="J37">
        <v>4.4053240000000002</v>
      </c>
      <c r="K37">
        <v>2.8029160000000002</v>
      </c>
      <c r="L37">
        <v>359.2946</v>
      </c>
    </row>
    <row r="38" spans="1:12" x14ac:dyDescent="0.2">
      <c r="A38" s="1">
        <v>42965.615543981483</v>
      </c>
      <c r="B38">
        <v>87.694590000000005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1.8611869999999999</v>
      </c>
      <c r="I38">
        <v>1.8169999999999999</v>
      </c>
      <c r="J38">
        <v>4.4590399999999999</v>
      </c>
      <c r="K38">
        <v>3.5097749999999999</v>
      </c>
      <c r="L38">
        <v>359.52050000000003</v>
      </c>
    </row>
    <row r="39" spans="1:12" x14ac:dyDescent="0.2">
      <c r="A39" s="1">
        <v>42965.615555555552</v>
      </c>
      <c r="B39">
        <v>88.713620000000006</v>
      </c>
      <c r="C39">
        <v>12</v>
      </c>
      <c r="D39" t="s">
        <v>35</v>
      </c>
      <c r="E39" t="s">
        <v>3</v>
      </c>
      <c r="F39" t="s">
        <v>4</v>
      </c>
      <c r="G39">
        <v>3.3703989999999999</v>
      </c>
      <c r="H39">
        <v>1.8613059999999999</v>
      </c>
      <c r="I39">
        <v>1.818883</v>
      </c>
      <c r="J39">
        <v>4.0294549999999996</v>
      </c>
      <c r="K39">
        <v>3.28424</v>
      </c>
      <c r="L39">
        <v>359.226</v>
      </c>
    </row>
    <row r="40" spans="1:12" x14ac:dyDescent="0.2">
      <c r="A40" s="1">
        <v>42965.615567129629</v>
      </c>
      <c r="B40">
        <v>89.734650000000002</v>
      </c>
      <c r="C40">
        <v>12</v>
      </c>
      <c r="D40" t="s">
        <v>36</v>
      </c>
      <c r="E40" t="s">
        <v>3</v>
      </c>
      <c r="F40" t="s">
        <v>4</v>
      </c>
      <c r="G40">
        <v>3.3602609999999999</v>
      </c>
      <c r="H40">
        <v>1.8624799999999999</v>
      </c>
      <c r="I40">
        <v>1.8260780000000001</v>
      </c>
      <c r="J40">
        <v>3.5855950000000001</v>
      </c>
      <c r="K40">
        <v>2.8712119999999999</v>
      </c>
      <c r="L40">
        <v>359.29840000000002</v>
      </c>
    </row>
    <row r="41" spans="1:12" x14ac:dyDescent="0.2">
      <c r="A41" s="1">
        <v>42965.615578703706</v>
      </c>
      <c r="B41">
        <v>90.755709999999993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1.860412</v>
      </c>
      <c r="I41">
        <v>-1.4059999999999999</v>
      </c>
      <c r="J41">
        <v>3.8655409999999999</v>
      </c>
      <c r="K41">
        <v>2.9636309999999999</v>
      </c>
      <c r="L41">
        <v>359.62790000000001</v>
      </c>
    </row>
    <row r="42" spans="1:12" x14ac:dyDescent="0.2">
      <c r="A42" s="1">
        <v>42965.615590277775</v>
      </c>
      <c r="B42">
        <v>91.76003</v>
      </c>
      <c r="C42">
        <v>13</v>
      </c>
      <c r="D42" t="s">
        <v>35</v>
      </c>
      <c r="E42" t="s">
        <v>33</v>
      </c>
      <c r="F42" t="s">
        <v>3</v>
      </c>
      <c r="G42">
        <v>-3.982278</v>
      </c>
      <c r="H42">
        <v>1.8608819999999999</v>
      </c>
      <c r="I42">
        <v>-1.4129050000000001</v>
      </c>
      <c r="J42">
        <v>3.769164</v>
      </c>
      <c r="K42">
        <v>3.3988930000000002</v>
      </c>
      <c r="L42">
        <v>359.59679999999997</v>
      </c>
    </row>
    <row r="43" spans="1:12" x14ac:dyDescent="0.2">
      <c r="A43" s="1">
        <v>42965.615601851852</v>
      </c>
      <c r="B43">
        <v>92.848079999999996</v>
      </c>
      <c r="C43">
        <v>13</v>
      </c>
      <c r="D43" t="s">
        <v>36</v>
      </c>
      <c r="E43" t="s">
        <v>33</v>
      </c>
      <c r="F43" t="s">
        <v>3</v>
      </c>
      <c r="G43">
        <v>-3.9777770000000001</v>
      </c>
      <c r="H43">
        <v>1.8604560000000001</v>
      </c>
      <c r="I43">
        <v>-1.4090100000000001</v>
      </c>
      <c r="J43">
        <v>3.8218489999999998</v>
      </c>
      <c r="K43">
        <v>3.0568550000000001</v>
      </c>
      <c r="L43">
        <v>359.28809999999999</v>
      </c>
    </row>
    <row r="44" spans="1:12" x14ac:dyDescent="0.2">
      <c r="A44" s="1">
        <v>42965.615613425929</v>
      </c>
      <c r="B44">
        <v>93.869159999999994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1.8616090000000001</v>
      </c>
      <c r="I44">
        <v>2.7240000000000002</v>
      </c>
      <c r="J44">
        <v>3.5125920000000002</v>
      </c>
      <c r="K44">
        <v>3.1260330000000001</v>
      </c>
      <c r="L44">
        <v>359.12470000000002</v>
      </c>
    </row>
    <row r="45" spans="1:12" x14ac:dyDescent="0.2">
      <c r="A45" s="1">
        <v>42965.615624999999</v>
      </c>
      <c r="B45">
        <v>94.890309999999999</v>
      </c>
      <c r="C45">
        <v>14</v>
      </c>
      <c r="D45" t="s">
        <v>35</v>
      </c>
      <c r="E45" t="s">
        <v>5</v>
      </c>
      <c r="F45" t="s">
        <v>2</v>
      </c>
      <c r="G45">
        <v>2.3593889999999999E-2</v>
      </c>
      <c r="H45">
        <v>1.860609</v>
      </c>
      <c r="I45">
        <v>2.7185809999999999</v>
      </c>
      <c r="J45">
        <v>3.9533149999999999</v>
      </c>
      <c r="K45">
        <v>2.661667</v>
      </c>
      <c r="L45">
        <v>359.17320000000001</v>
      </c>
    </row>
    <row r="46" spans="1:12" x14ac:dyDescent="0.2">
      <c r="A46" s="1">
        <v>42965.615636574075</v>
      </c>
      <c r="B46">
        <v>95.911410000000004</v>
      </c>
      <c r="C46">
        <v>14</v>
      </c>
      <c r="D46" t="s">
        <v>36</v>
      </c>
      <c r="E46" t="s">
        <v>5</v>
      </c>
      <c r="F46" t="s">
        <v>2</v>
      </c>
      <c r="G46">
        <v>2.3879330000000001E-2</v>
      </c>
      <c r="H46">
        <v>1.8605670000000001</v>
      </c>
      <c r="I46">
        <v>2.7183790000000001</v>
      </c>
      <c r="J46">
        <v>3.7915410000000001</v>
      </c>
      <c r="K46">
        <v>3.124196</v>
      </c>
      <c r="L46">
        <v>359.07769999999999</v>
      </c>
    </row>
    <row r="47" spans="1:12" x14ac:dyDescent="0.2">
      <c r="A47" s="1">
        <v>42965.615648148145</v>
      </c>
      <c r="B47">
        <v>96.93253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1.861229</v>
      </c>
      <c r="I47">
        <v>0.09</v>
      </c>
      <c r="J47">
        <v>3.6795270000000002</v>
      </c>
      <c r="K47">
        <v>2.7348059999999998</v>
      </c>
      <c r="L47">
        <v>359.29689999999999</v>
      </c>
    </row>
    <row r="48" spans="1:12" x14ac:dyDescent="0.2">
      <c r="A48" s="1">
        <v>42965.615659722222</v>
      </c>
      <c r="B48">
        <v>97.953609999999998</v>
      </c>
      <c r="C48">
        <v>15</v>
      </c>
      <c r="D48" t="s">
        <v>35</v>
      </c>
      <c r="E48" t="s">
        <v>6</v>
      </c>
      <c r="F48" t="s">
        <v>33</v>
      </c>
      <c r="G48">
        <v>-4.1106340000000001</v>
      </c>
      <c r="H48">
        <v>1.8615250000000001</v>
      </c>
      <c r="I48">
        <v>9.035087E-2</v>
      </c>
      <c r="J48">
        <v>3.3498209999999999</v>
      </c>
      <c r="K48">
        <v>2.7746209999999998</v>
      </c>
      <c r="L48">
        <v>359.38440000000003</v>
      </c>
    </row>
    <row r="49" spans="1:12" x14ac:dyDescent="0.2">
      <c r="A49" s="1">
        <v>42965.615671296298</v>
      </c>
      <c r="B49">
        <v>98.974720000000005</v>
      </c>
      <c r="C49">
        <v>15</v>
      </c>
      <c r="D49" t="s">
        <v>36</v>
      </c>
      <c r="E49" t="s">
        <v>6</v>
      </c>
      <c r="F49" t="s">
        <v>33</v>
      </c>
      <c r="G49">
        <v>-4.1098400000000002</v>
      </c>
      <c r="H49">
        <v>1.86087</v>
      </c>
      <c r="I49">
        <v>8.8207229999999998E-2</v>
      </c>
      <c r="J49">
        <v>3.4927220000000001</v>
      </c>
      <c r="K49">
        <v>2.42544</v>
      </c>
      <c r="L49">
        <v>359.23809999999997</v>
      </c>
    </row>
    <row r="50" spans="1:12" x14ac:dyDescent="0.2">
      <c r="A50" s="1">
        <v>42965.615682870368</v>
      </c>
      <c r="B50">
        <v>99.99588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1.860312</v>
      </c>
      <c r="I50">
        <v>-0.67300000000000004</v>
      </c>
      <c r="J50">
        <v>3.9536500000000001</v>
      </c>
      <c r="K50">
        <v>2.306918</v>
      </c>
      <c r="L50">
        <v>359.2296</v>
      </c>
    </row>
    <row r="51" spans="1:12" x14ac:dyDescent="0.2">
      <c r="A51" s="1">
        <v>42965.615694444445</v>
      </c>
      <c r="B51">
        <v>101.017</v>
      </c>
      <c r="C51">
        <v>16</v>
      </c>
      <c r="D51" t="s">
        <v>35</v>
      </c>
      <c r="E51" t="s">
        <v>4</v>
      </c>
      <c r="F51" t="s">
        <v>6</v>
      </c>
      <c r="G51">
        <v>3.9172859999999998</v>
      </c>
      <c r="H51">
        <v>1.8605700000000001</v>
      </c>
      <c r="I51">
        <v>-0.67866139999999997</v>
      </c>
      <c r="J51">
        <v>4.2295610000000003</v>
      </c>
      <c r="K51">
        <v>2.3663189999999998</v>
      </c>
      <c r="L51">
        <v>359.14269999999999</v>
      </c>
    </row>
    <row r="52" spans="1:12" x14ac:dyDescent="0.2">
      <c r="A52" s="1">
        <v>42965.615706018521</v>
      </c>
      <c r="B52">
        <v>102.0381</v>
      </c>
      <c r="C52">
        <v>16</v>
      </c>
      <c r="D52" t="s">
        <v>36</v>
      </c>
      <c r="E52" t="s">
        <v>4</v>
      </c>
      <c r="F52" t="s">
        <v>6</v>
      </c>
      <c r="G52">
        <v>3.914555</v>
      </c>
      <c r="H52">
        <v>1.8613869999999999</v>
      </c>
      <c r="I52">
        <v>-0.6769463</v>
      </c>
      <c r="J52">
        <v>3.5281509999999998</v>
      </c>
      <c r="K52">
        <v>2.5161889999999998</v>
      </c>
      <c r="L52">
        <v>359.16879999999998</v>
      </c>
    </row>
    <row r="53" spans="1:12" x14ac:dyDescent="0.2">
      <c r="A53" s="1">
        <v>42965.615717592591</v>
      </c>
      <c r="B53">
        <v>103.0758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1.8608739999999999</v>
      </c>
      <c r="I53">
        <v>1.8169999999999999</v>
      </c>
      <c r="J53">
        <v>3.711681</v>
      </c>
      <c r="K53">
        <v>2.290181</v>
      </c>
      <c r="L53">
        <v>359.30790000000002</v>
      </c>
    </row>
    <row r="54" spans="1:12" x14ac:dyDescent="0.2">
      <c r="A54" s="1">
        <v>42965.615729166668</v>
      </c>
      <c r="B54">
        <v>104.0802</v>
      </c>
      <c r="C54">
        <v>17</v>
      </c>
      <c r="D54" t="s">
        <v>35</v>
      </c>
      <c r="E54" t="s">
        <v>3</v>
      </c>
      <c r="F54" t="s">
        <v>4</v>
      </c>
      <c r="G54">
        <v>3.3699439999999998</v>
      </c>
      <c r="H54">
        <v>1.8610150000000001</v>
      </c>
      <c r="I54">
        <v>1.8192740000000001</v>
      </c>
      <c r="J54">
        <v>3.444207</v>
      </c>
      <c r="K54">
        <v>1.6302080000000001</v>
      </c>
      <c r="L54">
        <v>359.18180000000001</v>
      </c>
    </row>
    <row r="55" spans="1:12" x14ac:dyDescent="0.2">
      <c r="A55" s="1">
        <v>42965.615740740737</v>
      </c>
      <c r="B55">
        <v>105.1011</v>
      </c>
      <c r="C55">
        <v>17</v>
      </c>
      <c r="D55" t="s">
        <v>36</v>
      </c>
      <c r="E55" t="s">
        <v>3</v>
      </c>
      <c r="F55" t="s">
        <v>4</v>
      </c>
      <c r="G55">
        <v>3.3756089999999999</v>
      </c>
      <c r="H55">
        <v>1.8604670000000001</v>
      </c>
      <c r="I55">
        <v>1.815169</v>
      </c>
      <c r="J55">
        <v>4.008921</v>
      </c>
      <c r="K55">
        <v>1.5022869999999999</v>
      </c>
      <c r="L55">
        <v>359.34019999999998</v>
      </c>
    </row>
    <row r="56" spans="1:12" x14ac:dyDescent="0.2">
      <c r="A56" s="1">
        <v>42965.615752314814</v>
      </c>
      <c r="B56">
        <v>106.1221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1.8587089999999999</v>
      </c>
      <c r="I56">
        <v>-4.3440000000000003</v>
      </c>
      <c r="J56">
        <v>4.0495780000000003</v>
      </c>
      <c r="K56">
        <v>1.597574</v>
      </c>
      <c r="L56">
        <v>359.26740000000001</v>
      </c>
    </row>
    <row r="57" spans="1:12" x14ac:dyDescent="0.2">
      <c r="A57" s="1">
        <v>42965.615763888891</v>
      </c>
      <c r="B57">
        <v>107.1431</v>
      </c>
      <c r="C57">
        <v>18</v>
      </c>
      <c r="D57" t="s">
        <v>35</v>
      </c>
      <c r="E57" t="s">
        <v>2</v>
      </c>
      <c r="F57" t="s">
        <v>0</v>
      </c>
      <c r="G57">
        <v>3.4979770000000001</v>
      </c>
      <c r="H57">
        <v>1.8608750000000001</v>
      </c>
      <c r="I57">
        <v>-4.3312860000000004</v>
      </c>
      <c r="J57">
        <v>3.268313</v>
      </c>
      <c r="K57">
        <v>1.993735</v>
      </c>
      <c r="L57">
        <v>359.63040000000001</v>
      </c>
    </row>
    <row r="58" spans="1:12" x14ac:dyDescent="0.2">
      <c r="A58" s="1">
        <v>42965.61577546296</v>
      </c>
      <c r="B58">
        <v>108.164</v>
      </c>
      <c r="C58">
        <v>18</v>
      </c>
      <c r="D58" t="s">
        <v>36</v>
      </c>
      <c r="E58" t="s">
        <v>2</v>
      </c>
      <c r="F58" t="s">
        <v>0</v>
      </c>
      <c r="G58">
        <v>3.5024980000000001</v>
      </c>
      <c r="H58">
        <v>1.85972</v>
      </c>
      <c r="I58">
        <v>-4.3359139999999998</v>
      </c>
      <c r="J58">
        <v>4.3866069999999997</v>
      </c>
      <c r="K58">
        <v>1.6886650000000001</v>
      </c>
      <c r="L58">
        <v>358.60019999999997</v>
      </c>
    </row>
    <row r="59" spans="1:12" x14ac:dyDescent="0.2">
      <c r="A59" s="1">
        <v>42965.615787037037</v>
      </c>
      <c r="B59">
        <v>109.18519999999999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1.8576619999999999</v>
      </c>
      <c r="I59">
        <v>-0.67300000000000004</v>
      </c>
      <c r="J59">
        <v>4.7189699999999997</v>
      </c>
      <c r="K59">
        <v>1.112036</v>
      </c>
      <c r="L59">
        <v>359.0684</v>
      </c>
    </row>
    <row r="60" spans="1:12" x14ac:dyDescent="0.2">
      <c r="A60" s="1">
        <v>42965.615798611114</v>
      </c>
      <c r="B60">
        <v>110.2063</v>
      </c>
      <c r="C60">
        <v>19</v>
      </c>
      <c r="D60" t="s">
        <v>35</v>
      </c>
      <c r="E60" t="s">
        <v>4</v>
      </c>
      <c r="F60" t="s">
        <v>6</v>
      </c>
      <c r="G60">
        <v>3.935632</v>
      </c>
      <c r="H60">
        <v>1.8564560000000001</v>
      </c>
      <c r="I60">
        <v>-0.69364579999999998</v>
      </c>
      <c r="J60">
        <v>5.9569559999999999</v>
      </c>
      <c r="K60">
        <v>2.4656929999999999</v>
      </c>
      <c r="L60">
        <v>358.91669999999999</v>
      </c>
    </row>
    <row r="61" spans="1:12" x14ac:dyDescent="0.2">
      <c r="A61" s="1">
        <v>42965.615810185183</v>
      </c>
      <c r="B61">
        <v>111.2274</v>
      </c>
      <c r="C61">
        <v>19</v>
      </c>
      <c r="D61" t="s">
        <v>36</v>
      </c>
      <c r="E61" t="s">
        <v>4</v>
      </c>
      <c r="F61" t="s">
        <v>6</v>
      </c>
      <c r="G61">
        <v>3.9299529999999998</v>
      </c>
      <c r="H61">
        <v>1.8572390000000001</v>
      </c>
      <c r="I61">
        <v>-0.69143359999999998</v>
      </c>
      <c r="J61">
        <v>4.6037280000000003</v>
      </c>
      <c r="K61">
        <v>2.7259959999999999</v>
      </c>
      <c r="L61">
        <v>359.00319999999999</v>
      </c>
    </row>
    <row r="62" spans="1:12" x14ac:dyDescent="0.2">
      <c r="A62" s="1">
        <v>42965.61582175926</v>
      </c>
      <c r="B62">
        <v>112.2486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1.858636</v>
      </c>
      <c r="I62">
        <v>-1.4059999999999999</v>
      </c>
      <c r="J62">
        <v>3.9489070000000002</v>
      </c>
      <c r="K62">
        <v>2.0829040000000001</v>
      </c>
      <c r="L62">
        <v>359.05560000000003</v>
      </c>
    </row>
    <row r="63" spans="1:12" x14ac:dyDescent="0.2">
      <c r="A63" s="1">
        <v>42965.615833333337</v>
      </c>
      <c r="B63">
        <v>113.2697</v>
      </c>
      <c r="C63">
        <v>20</v>
      </c>
      <c r="D63" t="s">
        <v>35</v>
      </c>
      <c r="E63" t="s">
        <v>33</v>
      </c>
      <c r="F63" t="s">
        <v>3</v>
      </c>
      <c r="G63">
        <v>-3.974634</v>
      </c>
      <c r="H63">
        <v>1.8579079999999999</v>
      </c>
      <c r="I63">
        <v>-1.410595</v>
      </c>
      <c r="J63">
        <v>4.0093750000000004</v>
      </c>
      <c r="K63">
        <v>2.2307519999999998</v>
      </c>
      <c r="L63">
        <v>358.9615</v>
      </c>
    </row>
    <row r="64" spans="1:12" x14ac:dyDescent="0.2">
      <c r="A64" s="1">
        <v>42965.615844907406</v>
      </c>
      <c r="B64">
        <v>114.2908</v>
      </c>
      <c r="C64">
        <v>20</v>
      </c>
      <c r="D64" t="s">
        <v>36</v>
      </c>
      <c r="E64" t="s">
        <v>33</v>
      </c>
      <c r="F64" t="s">
        <v>3</v>
      </c>
      <c r="G64">
        <v>-3.9868139999999999</v>
      </c>
      <c r="H64">
        <v>1.8603479999999999</v>
      </c>
      <c r="I64">
        <v>-1.410933</v>
      </c>
      <c r="J64">
        <v>3.5352030000000001</v>
      </c>
      <c r="K64">
        <v>1.5528439999999999</v>
      </c>
      <c r="L64">
        <v>358.97340000000003</v>
      </c>
    </row>
    <row r="65" spans="1:12" x14ac:dyDescent="0.2">
      <c r="A65" s="1">
        <v>42965.615856481483</v>
      </c>
      <c r="B65">
        <v>115.31189999999999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1.8596140000000001</v>
      </c>
      <c r="I65">
        <v>-4.117</v>
      </c>
      <c r="J65">
        <v>3.945926</v>
      </c>
      <c r="K65">
        <v>1.6206419999999999</v>
      </c>
      <c r="L65">
        <v>359.09399999999999</v>
      </c>
    </row>
    <row r="66" spans="1:12" x14ac:dyDescent="0.2">
      <c r="A66" s="1">
        <v>42965.615868055553</v>
      </c>
      <c r="B66">
        <v>116.333</v>
      </c>
      <c r="C66">
        <v>21</v>
      </c>
      <c r="D66" t="s">
        <v>35</v>
      </c>
      <c r="E66" t="s">
        <v>0</v>
      </c>
      <c r="F66" t="s">
        <v>1</v>
      </c>
      <c r="G66">
        <v>-0.85502210000000001</v>
      </c>
      <c r="H66">
        <v>1.8601529999999999</v>
      </c>
      <c r="I66">
        <v>-4.1134690000000003</v>
      </c>
      <c r="J66">
        <v>3.5874359999999998</v>
      </c>
      <c r="K66">
        <v>1.1865950000000001</v>
      </c>
      <c r="L66">
        <v>359.19049999999999</v>
      </c>
    </row>
    <row r="67" spans="1:12" x14ac:dyDescent="0.2">
      <c r="A67" s="1">
        <v>42965.615879629629</v>
      </c>
      <c r="B67">
        <v>117.354</v>
      </c>
      <c r="C67">
        <v>21</v>
      </c>
      <c r="D67" t="s">
        <v>36</v>
      </c>
      <c r="E67" t="s">
        <v>0</v>
      </c>
      <c r="F67" t="s">
        <v>1</v>
      </c>
      <c r="G67">
        <v>-0.86170069999999999</v>
      </c>
      <c r="H67">
        <v>1.86147</v>
      </c>
      <c r="I67">
        <v>-4.1054190000000004</v>
      </c>
      <c r="J67">
        <v>2.9454250000000002</v>
      </c>
      <c r="K67">
        <v>1.146347</v>
      </c>
      <c r="L67">
        <v>359.58960000000002</v>
      </c>
    </row>
    <row r="68" spans="1:12" x14ac:dyDescent="0.2">
      <c r="A68" s="1">
        <v>42965.615891203706</v>
      </c>
      <c r="B68">
        <v>118.4755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1.862314</v>
      </c>
      <c r="I68">
        <v>4.1399999999999997</v>
      </c>
      <c r="J68">
        <v>3.173959</v>
      </c>
      <c r="K68">
        <v>1.3739859999999999</v>
      </c>
      <c r="L68">
        <v>359.5147</v>
      </c>
    </row>
    <row r="69" spans="1:12" x14ac:dyDescent="0.2">
      <c r="A69" s="1">
        <v>42965.615914351853</v>
      </c>
      <c r="B69">
        <v>119.4966</v>
      </c>
      <c r="C69">
        <v>22</v>
      </c>
      <c r="D69" t="s">
        <v>35</v>
      </c>
      <c r="E69" t="s">
        <v>1</v>
      </c>
      <c r="F69" t="s">
        <v>5</v>
      </c>
      <c r="G69">
        <v>-4.0664030000000002</v>
      </c>
      <c r="H69">
        <v>1.8599349999999999</v>
      </c>
      <c r="I69">
        <v>4.132822</v>
      </c>
      <c r="J69">
        <v>3.1252879999999998</v>
      </c>
      <c r="K69">
        <v>2.3131149999999998</v>
      </c>
      <c r="L69">
        <v>359.91849999999999</v>
      </c>
    </row>
    <row r="70" spans="1:12" x14ac:dyDescent="0.2">
      <c r="A70" s="1">
        <v>42965.615925925929</v>
      </c>
      <c r="B70">
        <v>120.5009</v>
      </c>
      <c r="C70">
        <v>22</v>
      </c>
      <c r="D70" t="s">
        <v>36</v>
      </c>
      <c r="E70" t="s">
        <v>1</v>
      </c>
      <c r="F70" t="s">
        <v>5</v>
      </c>
      <c r="G70">
        <v>-4.0589329999999997</v>
      </c>
      <c r="H70">
        <v>1.8608119999999999</v>
      </c>
      <c r="I70">
        <v>4.1257339999999996</v>
      </c>
      <c r="J70">
        <v>3.436064</v>
      </c>
      <c r="K70">
        <v>2.1646670000000001</v>
      </c>
      <c r="L70">
        <v>359.65589999999997</v>
      </c>
    </row>
    <row r="71" spans="1:12" x14ac:dyDescent="0.2">
      <c r="A71" s="1">
        <v>42965.615937499999</v>
      </c>
      <c r="B71">
        <v>121.5219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1.861049</v>
      </c>
      <c r="I71">
        <v>0.09</v>
      </c>
      <c r="J71">
        <v>3.070862</v>
      </c>
      <c r="K71">
        <v>1.239655</v>
      </c>
      <c r="L71">
        <v>0.1010742</v>
      </c>
    </row>
    <row r="72" spans="1:12" x14ac:dyDescent="0.2">
      <c r="A72" s="1">
        <v>42965.615949074076</v>
      </c>
      <c r="B72">
        <v>122.5429</v>
      </c>
      <c r="C72">
        <v>23</v>
      </c>
      <c r="D72" t="s">
        <v>35</v>
      </c>
      <c r="E72" t="s">
        <v>6</v>
      </c>
      <c r="F72" t="s">
        <v>33</v>
      </c>
      <c r="G72">
        <v>-4.1167899999999999</v>
      </c>
      <c r="H72">
        <v>1.8608789999999999</v>
      </c>
      <c r="I72">
        <v>7.6334600000000002E-2</v>
      </c>
      <c r="J72">
        <v>3.729447</v>
      </c>
      <c r="K72">
        <v>0.40200550000000002</v>
      </c>
      <c r="L72">
        <v>359.13409999999999</v>
      </c>
    </row>
    <row r="73" spans="1:12" x14ac:dyDescent="0.2">
      <c r="A73" s="1">
        <v>42965.615960648145</v>
      </c>
      <c r="B73">
        <v>123.56399999999999</v>
      </c>
      <c r="C73">
        <v>23</v>
      </c>
      <c r="D73" t="s">
        <v>36</v>
      </c>
      <c r="E73" t="s">
        <v>6</v>
      </c>
      <c r="F73" t="s">
        <v>33</v>
      </c>
      <c r="G73">
        <v>-4.0997649999999997</v>
      </c>
      <c r="H73">
        <v>1.8602650000000001</v>
      </c>
      <c r="I73">
        <v>6.2180149999999997E-2</v>
      </c>
      <c r="J73">
        <v>3.09423</v>
      </c>
      <c r="K73">
        <v>1.4903960000000001</v>
      </c>
      <c r="L73">
        <v>359.70639999999997</v>
      </c>
    </row>
    <row r="74" spans="1:12" x14ac:dyDescent="0.2">
      <c r="A74" s="1">
        <v>42965.615972222222</v>
      </c>
      <c r="B74">
        <v>124.6019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1.8613729999999999</v>
      </c>
      <c r="I74">
        <v>2.7240000000000002</v>
      </c>
      <c r="J74">
        <v>2.9254790000000002</v>
      </c>
      <c r="K74">
        <v>1.6306290000000001</v>
      </c>
      <c r="L74">
        <v>359.6884</v>
      </c>
    </row>
    <row r="75" spans="1:12" x14ac:dyDescent="0.2">
      <c r="A75" s="1">
        <v>42965.615983796299</v>
      </c>
      <c r="B75">
        <v>125.6397</v>
      </c>
      <c r="C75">
        <v>24</v>
      </c>
      <c r="D75" t="s">
        <v>35</v>
      </c>
      <c r="E75" t="s">
        <v>5</v>
      </c>
      <c r="F75" t="s">
        <v>2</v>
      </c>
      <c r="G75">
        <v>2.223315E-2</v>
      </c>
      <c r="H75">
        <v>1.860673</v>
      </c>
      <c r="I75">
        <v>2.7196159999999998</v>
      </c>
      <c r="J75">
        <v>3.6080670000000001</v>
      </c>
      <c r="K75">
        <v>1.508615</v>
      </c>
      <c r="L75">
        <v>359.54860000000002</v>
      </c>
    </row>
    <row r="76" spans="1:12" x14ac:dyDescent="0.2">
      <c r="A76" s="1">
        <v>42965.615995370368</v>
      </c>
      <c r="B76">
        <v>126.64409999999999</v>
      </c>
      <c r="C76">
        <v>24</v>
      </c>
      <c r="D76" t="s">
        <v>36</v>
      </c>
      <c r="E76" t="s">
        <v>5</v>
      </c>
      <c r="F76" t="s">
        <v>2</v>
      </c>
      <c r="G76">
        <v>1.967853E-2</v>
      </c>
      <c r="H76">
        <v>1.8608009999999999</v>
      </c>
      <c r="I76">
        <v>2.7213229999999999</v>
      </c>
      <c r="J76">
        <v>2.9919820000000001</v>
      </c>
      <c r="K76">
        <v>1.8516760000000001</v>
      </c>
      <c r="L76">
        <v>359.60890000000001</v>
      </c>
    </row>
    <row r="77" spans="1:12" x14ac:dyDescent="0.2">
      <c r="A77" s="1">
        <v>42965.616400462961</v>
      </c>
      <c r="B77">
        <v>148.61070000000001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1.841691</v>
      </c>
      <c r="I77">
        <v>4.1399999999999997</v>
      </c>
      <c r="J77">
        <v>10.56931</v>
      </c>
      <c r="K77">
        <v>8.0158749999999994</v>
      </c>
      <c r="L77">
        <v>358.20890000000003</v>
      </c>
    </row>
    <row r="78" spans="1:12" x14ac:dyDescent="0.2">
      <c r="A78" s="1">
        <v>42965.616585648146</v>
      </c>
      <c r="B78">
        <v>164.57980000000001</v>
      </c>
      <c r="C78">
        <v>25</v>
      </c>
      <c r="D78" t="s">
        <v>35</v>
      </c>
      <c r="E78" t="s">
        <v>1</v>
      </c>
      <c r="F78" t="s">
        <v>5</v>
      </c>
      <c r="G78">
        <v>-3.9946860000000002</v>
      </c>
      <c r="H78">
        <v>1.8327359999999999</v>
      </c>
      <c r="I78">
        <v>4.1831329999999998</v>
      </c>
      <c r="J78">
        <v>4.263541</v>
      </c>
      <c r="K78">
        <v>355.92579999999998</v>
      </c>
      <c r="L78">
        <v>346.20740000000001</v>
      </c>
    </row>
    <row r="79" spans="1:12" x14ac:dyDescent="0.2">
      <c r="A79" s="1">
        <v>42965.617071759261</v>
      </c>
      <c r="B79">
        <v>206.2081</v>
      </c>
      <c r="C79">
        <v>25</v>
      </c>
      <c r="D79" t="s">
        <v>36</v>
      </c>
      <c r="E79" t="s">
        <v>1</v>
      </c>
      <c r="F79" t="s">
        <v>5</v>
      </c>
      <c r="G79">
        <v>-8.6984580000000005</v>
      </c>
      <c r="H79">
        <v>1.8426689999999999</v>
      </c>
      <c r="I79">
        <v>-1.68689</v>
      </c>
      <c r="J79">
        <v>5.8256430000000003</v>
      </c>
      <c r="K79">
        <v>147.51480000000001</v>
      </c>
      <c r="L79">
        <v>357.17439999999999</v>
      </c>
    </row>
    <row r="80" spans="1:12" x14ac:dyDescent="0.2">
      <c r="A80" s="1">
        <v>42965.617083333331</v>
      </c>
      <c r="B80">
        <v>207.2458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1.840571</v>
      </c>
      <c r="I80">
        <v>-0.67300000000000004</v>
      </c>
      <c r="J80">
        <v>6.988029</v>
      </c>
      <c r="K80">
        <v>149.14680000000001</v>
      </c>
      <c r="L80">
        <v>356.47609999999997</v>
      </c>
    </row>
    <row r="81" spans="1:12" x14ac:dyDescent="0.2">
      <c r="A81" s="1">
        <v>42965.617118055554</v>
      </c>
      <c r="B81">
        <v>210.34229999999999</v>
      </c>
      <c r="C81">
        <v>26</v>
      </c>
      <c r="D81" t="s">
        <v>35</v>
      </c>
      <c r="E81" t="s">
        <v>4</v>
      </c>
      <c r="F81" t="s">
        <v>6</v>
      </c>
      <c r="G81">
        <v>3.8584170000000002</v>
      </c>
      <c r="H81">
        <v>1.8251029999999999</v>
      </c>
      <c r="I81">
        <v>-0.686554</v>
      </c>
      <c r="J81">
        <v>13.3919</v>
      </c>
      <c r="K81">
        <v>134.23060000000001</v>
      </c>
      <c r="L81">
        <v>354.26100000000002</v>
      </c>
    </row>
    <row r="82" spans="1:12" x14ac:dyDescent="0.2">
      <c r="A82" s="1">
        <v>42965.617662037039</v>
      </c>
      <c r="B82">
        <v>257.95819999999998</v>
      </c>
      <c r="C82">
        <v>26</v>
      </c>
      <c r="D82" t="s">
        <v>36</v>
      </c>
      <c r="E82" t="s">
        <v>4</v>
      </c>
      <c r="F82" t="s">
        <v>6</v>
      </c>
      <c r="G82">
        <v>-5.875756</v>
      </c>
      <c r="H82">
        <v>1.8301879999999999</v>
      </c>
      <c r="I82">
        <v>3.5760049999999999</v>
      </c>
      <c r="J82">
        <v>8.8445099999999996</v>
      </c>
      <c r="K82">
        <v>60.931130000000003</v>
      </c>
      <c r="L82">
        <v>355.67540000000002</v>
      </c>
    </row>
    <row r="83" spans="1:12" x14ac:dyDescent="0.2">
      <c r="A83" s="1">
        <v>42965.617685185185</v>
      </c>
      <c r="B83">
        <v>259.46440000000001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1.833839</v>
      </c>
      <c r="I83">
        <v>2.7240000000000002</v>
      </c>
      <c r="J83">
        <v>9.2480530000000005</v>
      </c>
      <c r="K83">
        <v>62.28152</v>
      </c>
      <c r="L83">
        <v>356.14890000000003</v>
      </c>
    </row>
    <row r="84" spans="1:12" x14ac:dyDescent="0.2">
      <c r="A84" s="1">
        <v>42965.617719907408</v>
      </c>
      <c r="B84">
        <v>262.9622</v>
      </c>
      <c r="C84">
        <v>27</v>
      </c>
      <c r="D84" t="s">
        <v>35</v>
      </c>
      <c r="E84" t="s">
        <v>5</v>
      </c>
      <c r="F84" t="s">
        <v>2</v>
      </c>
      <c r="G84">
        <v>4.8142209999999998E-2</v>
      </c>
      <c r="H84">
        <v>1.8297600000000001</v>
      </c>
      <c r="I84">
        <v>2.7550509999999999</v>
      </c>
      <c r="J84">
        <v>9.9339359999999992</v>
      </c>
      <c r="K84">
        <v>58.522759999999998</v>
      </c>
      <c r="L84">
        <v>351.61770000000001</v>
      </c>
    </row>
    <row r="85" spans="1:12" x14ac:dyDescent="0.2">
      <c r="A85" s="1">
        <v>42965.618090277778</v>
      </c>
      <c r="B85">
        <v>294.2602</v>
      </c>
      <c r="C85">
        <v>27</v>
      </c>
      <c r="D85" t="s">
        <v>36</v>
      </c>
      <c r="E85" t="s">
        <v>5</v>
      </c>
      <c r="F85" t="s">
        <v>2</v>
      </c>
      <c r="G85">
        <v>0.47113699999999997</v>
      </c>
      <c r="H85">
        <v>1.840706</v>
      </c>
      <c r="I85">
        <v>-4.9441369999999996</v>
      </c>
      <c r="J85">
        <v>8.9473090000000006</v>
      </c>
      <c r="K85">
        <v>283.17410000000001</v>
      </c>
      <c r="L85">
        <v>355.65410000000003</v>
      </c>
    </row>
    <row r="86" spans="1:12" x14ac:dyDescent="0.2">
      <c r="A86" s="1">
        <v>42965.618101851855</v>
      </c>
      <c r="B86">
        <v>296.10140000000001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1.842184</v>
      </c>
      <c r="I86">
        <v>-4.117</v>
      </c>
      <c r="J86">
        <v>10.988490000000001</v>
      </c>
      <c r="K86">
        <v>286.96719999999999</v>
      </c>
      <c r="L86">
        <v>355.30020000000002</v>
      </c>
    </row>
    <row r="87" spans="1:12" x14ac:dyDescent="0.2">
      <c r="A87" s="1">
        <v>42965.618171296293</v>
      </c>
      <c r="B87">
        <v>301.27319999999997</v>
      </c>
      <c r="C87">
        <v>28</v>
      </c>
      <c r="D87" t="s">
        <v>35</v>
      </c>
      <c r="E87" t="s">
        <v>0</v>
      </c>
      <c r="F87" t="s">
        <v>1</v>
      </c>
      <c r="G87">
        <v>-0.84631219999999996</v>
      </c>
      <c r="H87">
        <v>1.8206340000000001</v>
      </c>
      <c r="I87">
        <v>-4.1688590000000003</v>
      </c>
      <c r="J87">
        <v>17.000990000000002</v>
      </c>
      <c r="K87">
        <v>280.84899999999999</v>
      </c>
      <c r="L87">
        <v>355.03280000000001</v>
      </c>
    </row>
    <row r="88" spans="1:12" x14ac:dyDescent="0.2">
      <c r="A88" s="1">
        <v>42965.618576388886</v>
      </c>
      <c r="B88">
        <v>336.32819999999998</v>
      </c>
      <c r="C88">
        <v>28</v>
      </c>
      <c r="D88" t="s">
        <v>36</v>
      </c>
      <c r="E88" t="s">
        <v>0</v>
      </c>
      <c r="F88" t="s">
        <v>1</v>
      </c>
      <c r="G88">
        <v>-0.85656969999999999</v>
      </c>
      <c r="H88">
        <v>1.828651</v>
      </c>
      <c r="I88">
        <v>5.5686980000000004</v>
      </c>
      <c r="J88">
        <v>10.840769999999999</v>
      </c>
      <c r="K88">
        <v>109.08669999999999</v>
      </c>
      <c r="L88">
        <v>357.19060000000002</v>
      </c>
    </row>
    <row r="89" spans="1:12" x14ac:dyDescent="0.2">
      <c r="A89" s="1">
        <v>42965.618657407409</v>
      </c>
      <c r="B89">
        <v>343.77600000000001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1.8382559999999999</v>
      </c>
      <c r="I89">
        <v>-1.4059999999999999</v>
      </c>
      <c r="J89">
        <v>9.5127749999999995</v>
      </c>
      <c r="K89">
        <v>293.5575</v>
      </c>
      <c r="L89">
        <v>355.48829999999998</v>
      </c>
    </row>
    <row r="90" spans="1:12" x14ac:dyDescent="0.2">
      <c r="A90" s="1">
        <v>42965.618761574071</v>
      </c>
      <c r="B90">
        <v>352.31180000000001</v>
      </c>
      <c r="C90">
        <v>29</v>
      </c>
      <c r="D90" t="s">
        <v>35</v>
      </c>
      <c r="E90" t="s">
        <v>33</v>
      </c>
      <c r="F90" t="s">
        <v>3</v>
      </c>
      <c r="G90">
        <v>-3.9668960000000002</v>
      </c>
      <c r="H90">
        <v>1.831602</v>
      </c>
      <c r="I90">
        <v>-1.434274</v>
      </c>
      <c r="J90">
        <v>9.0756730000000001</v>
      </c>
      <c r="K90">
        <v>294.7054</v>
      </c>
      <c r="L90">
        <v>355.43959999999998</v>
      </c>
    </row>
    <row r="91" spans="1:12" x14ac:dyDescent="0.2">
      <c r="A91" s="1">
        <v>42965.61923611111</v>
      </c>
      <c r="B91">
        <v>393.61840000000001</v>
      </c>
      <c r="C91">
        <v>29</v>
      </c>
      <c r="D91" t="s">
        <v>36</v>
      </c>
      <c r="E91" t="s">
        <v>33</v>
      </c>
      <c r="F91" t="s">
        <v>3</v>
      </c>
      <c r="G91">
        <v>2.1397499999999998</v>
      </c>
      <c r="H91">
        <v>1.8303290000000001</v>
      </c>
      <c r="I91">
        <v>7.9858900000000004</v>
      </c>
      <c r="J91">
        <v>10.0579</v>
      </c>
      <c r="K91">
        <v>116.1874</v>
      </c>
      <c r="L91">
        <v>356.50360000000001</v>
      </c>
    </row>
    <row r="92" spans="1:12" x14ac:dyDescent="0.2">
      <c r="A92" s="1">
        <v>42965.619247685187</v>
      </c>
      <c r="B92">
        <v>395.00749999999999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1.824403</v>
      </c>
      <c r="I92">
        <v>0.09</v>
      </c>
      <c r="J92">
        <v>11.90306</v>
      </c>
      <c r="K92">
        <v>117.67230000000001</v>
      </c>
      <c r="L92">
        <v>356.4024</v>
      </c>
    </row>
    <row r="93" spans="1:12" x14ac:dyDescent="0.2">
      <c r="A93" s="1">
        <v>42965.619305555556</v>
      </c>
      <c r="B93">
        <v>399.47620000000001</v>
      </c>
      <c r="C93">
        <v>30</v>
      </c>
      <c r="D93" t="s">
        <v>35</v>
      </c>
      <c r="E93" t="s">
        <v>6</v>
      </c>
      <c r="F93" t="s">
        <v>33</v>
      </c>
      <c r="G93">
        <v>-4.0913440000000003</v>
      </c>
      <c r="H93">
        <v>1.810786</v>
      </c>
      <c r="I93">
        <v>0.1240353</v>
      </c>
      <c r="J93">
        <v>12.07037</v>
      </c>
      <c r="K93">
        <v>110.25369999999999</v>
      </c>
      <c r="L93">
        <v>356.14429999999999</v>
      </c>
    </row>
    <row r="94" spans="1:12" x14ac:dyDescent="0.2">
      <c r="A94" s="1">
        <v>42965.619629629633</v>
      </c>
      <c r="B94">
        <v>427.85430000000002</v>
      </c>
      <c r="C94">
        <v>30</v>
      </c>
      <c r="D94" t="s">
        <v>36</v>
      </c>
      <c r="E94" t="s">
        <v>6</v>
      </c>
      <c r="F94" t="s">
        <v>33</v>
      </c>
      <c r="G94">
        <v>-2.0223559999999998</v>
      </c>
      <c r="H94">
        <v>1.822171</v>
      </c>
      <c r="I94">
        <v>6.0131379999999996</v>
      </c>
      <c r="J94">
        <v>16.999110000000002</v>
      </c>
      <c r="K94">
        <v>117.9042</v>
      </c>
      <c r="L94">
        <v>359.4735</v>
      </c>
    </row>
    <row r="95" spans="1:12" x14ac:dyDescent="0.2">
      <c r="A95" s="1">
        <v>42965.619652777779</v>
      </c>
      <c r="B95">
        <v>430.06360000000001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1.816891</v>
      </c>
      <c r="I95">
        <v>-4.3440000000000003</v>
      </c>
      <c r="J95">
        <v>17.033650000000002</v>
      </c>
      <c r="K95">
        <v>120.54219999999999</v>
      </c>
      <c r="L95">
        <v>357.39280000000002</v>
      </c>
    </row>
    <row r="96" spans="1:12" x14ac:dyDescent="0.2">
      <c r="A96" s="1">
        <v>42965.619722222225</v>
      </c>
      <c r="B96">
        <v>435.56990000000002</v>
      </c>
      <c r="C96">
        <v>31</v>
      </c>
      <c r="D96" t="s">
        <v>35</v>
      </c>
      <c r="E96" t="s">
        <v>2</v>
      </c>
      <c r="F96" t="s">
        <v>0</v>
      </c>
      <c r="G96">
        <v>3.5224350000000002</v>
      </c>
      <c r="H96">
        <v>1.8113030000000001</v>
      </c>
      <c r="I96">
        <v>-4.3213460000000001</v>
      </c>
      <c r="J96">
        <v>14.596069999999999</v>
      </c>
      <c r="K96">
        <v>82.620760000000004</v>
      </c>
      <c r="L96">
        <v>356.0453</v>
      </c>
    </row>
    <row r="97" spans="1:12" x14ac:dyDescent="0.2">
      <c r="A97" s="1">
        <v>42965.620023148149</v>
      </c>
      <c r="B97">
        <v>462.34870000000001</v>
      </c>
      <c r="C97">
        <v>31</v>
      </c>
      <c r="D97" t="s">
        <v>36</v>
      </c>
      <c r="E97" t="s">
        <v>2</v>
      </c>
      <c r="F97" t="s">
        <v>0</v>
      </c>
      <c r="G97">
        <v>-5.442761</v>
      </c>
      <c r="H97">
        <v>1.8105450000000001</v>
      </c>
      <c r="I97">
        <v>-1.265863</v>
      </c>
      <c r="J97">
        <v>23.490459999999999</v>
      </c>
      <c r="K97">
        <v>49.725020000000001</v>
      </c>
      <c r="L97">
        <v>356.23910000000001</v>
      </c>
    </row>
    <row r="98" spans="1:12" x14ac:dyDescent="0.2">
      <c r="A98" s="1">
        <v>42965.620046296295</v>
      </c>
      <c r="B98">
        <v>464.40719999999999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1.803361</v>
      </c>
      <c r="I98">
        <v>1.8169999999999999</v>
      </c>
      <c r="J98">
        <v>24.541440000000001</v>
      </c>
      <c r="K98">
        <v>53.612369999999999</v>
      </c>
      <c r="L98">
        <v>356.97809999999998</v>
      </c>
    </row>
    <row r="99" spans="1:12" x14ac:dyDescent="0.2">
      <c r="A99" s="1">
        <v>42965.620104166665</v>
      </c>
      <c r="B99">
        <v>469.14339999999999</v>
      </c>
      <c r="C99">
        <v>32</v>
      </c>
      <c r="D99" t="s">
        <v>35</v>
      </c>
      <c r="E99" t="s">
        <v>3</v>
      </c>
      <c r="F99" t="s">
        <v>4</v>
      </c>
      <c r="G99">
        <v>3.4024350000000001</v>
      </c>
      <c r="H99">
        <v>1.814427</v>
      </c>
      <c r="I99">
        <v>1.8457680000000001</v>
      </c>
      <c r="J99">
        <v>18.191559999999999</v>
      </c>
      <c r="K99">
        <v>63.786250000000003</v>
      </c>
      <c r="L99">
        <v>348.35980000000001</v>
      </c>
    </row>
    <row r="100" spans="1:12" x14ac:dyDescent="0.2">
      <c r="A100" s="1">
        <v>42965.62027777778</v>
      </c>
      <c r="B100">
        <v>483.67079999999999</v>
      </c>
      <c r="C100">
        <v>32</v>
      </c>
      <c r="D100" t="s">
        <v>36</v>
      </c>
      <c r="E100" t="s">
        <v>3</v>
      </c>
      <c r="F100" t="s">
        <v>4</v>
      </c>
      <c r="G100">
        <v>3.4436429999999998</v>
      </c>
      <c r="H100">
        <v>1.838684</v>
      </c>
      <c r="I100">
        <v>-2.147621</v>
      </c>
      <c r="J100">
        <v>12.694290000000001</v>
      </c>
      <c r="K100">
        <v>125.0193</v>
      </c>
      <c r="L100">
        <v>357.88249999999999</v>
      </c>
    </row>
    <row r="101" spans="1:12" x14ac:dyDescent="0.2">
      <c r="A101" s="1">
        <v>42965.620289351849</v>
      </c>
      <c r="B101">
        <v>484.7586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1.836165</v>
      </c>
      <c r="I101">
        <v>0.09</v>
      </c>
      <c r="J101">
        <v>11.938090000000001</v>
      </c>
      <c r="K101">
        <v>126.62090000000001</v>
      </c>
      <c r="L101">
        <v>356.39139999999998</v>
      </c>
    </row>
    <row r="102" spans="1:12" x14ac:dyDescent="0.2">
      <c r="A102" s="1">
        <v>42965.620451388888</v>
      </c>
      <c r="B102">
        <v>498.81779999999998</v>
      </c>
      <c r="C102">
        <v>33</v>
      </c>
      <c r="D102" t="s">
        <v>35</v>
      </c>
      <c r="E102" t="s">
        <v>6</v>
      </c>
      <c r="F102" t="s">
        <v>33</v>
      </c>
      <c r="G102">
        <v>-3.8738589999999999</v>
      </c>
      <c r="H102">
        <v>1.800548</v>
      </c>
      <c r="I102">
        <v>0.10672570000000001</v>
      </c>
      <c r="J102">
        <v>14.33179</v>
      </c>
      <c r="K102">
        <v>299.2439</v>
      </c>
      <c r="L102">
        <v>348.61470000000003</v>
      </c>
    </row>
    <row r="103" spans="1:12" x14ac:dyDescent="0.2">
      <c r="A103" s="1">
        <v>42965.620706018519</v>
      </c>
      <c r="B103">
        <v>521.12840000000006</v>
      </c>
      <c r="C103">
        <v>33</v>
      </c>
      <c r="D103" t="s">
        <v>36</v>
      </c>
      <c r="E103" t="s">
        <v>6</v>
      </c>
      <c r="F103" t="s">
        <v>33</v>
      </c>
      <c r="G103">
        <v>-3.8776320000000002</v>
      </c>
      <c r="H103">
        <v>1.827366</v>
      </c>
      <c r="I103">
        <v>-6.7427640000000002</v>
      </c>
      <c r="J103">
        <v>11.641220000000001</v>
      </c>
      <c r="K103">
        <v>87.72148</v>
      </c>
      <c r="L103">
        <v>356.25490000000002</v>
      </c>
    </row>
    <row r="104" spans="1:12" x14ac:dyDescent="0.2">
      <c r="A104" s="1">
        <v>42965.620717592596</v>
      </c>
      <c r="B104">
        <v>522.14940000000001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1.826023</v>
      </c>
      <c r="I104">
        <v>-0.67300000000000004</v>
      </c>
      <c r="J104">
        <v>11.940250000000001</v>
      </c>
      <c r="K104">
        <v>91.391509999999997</v>
      </c>
      <c r="L104">
        <v>355.06020000000001</v>
      </c>
    </row>
    <row r="105" spans="1:12" x14ac:dyDescent="0.2">
      <c r="A105" s="1">
        <v>42965.620752314811</v>
      </c>
      <c r="B105">
        <v>525.09500000000003</v>
      </c>
      <c r="C105">
        <v>34</v>
      </c>
      <c r="D105" t="s">
        <v>35</v>
      </c>
      <c r="E105" t="s">
        <v>4</v>
      </c>
      <c r="F105" t="s">
        <v>6</v>
      </c>
      <c r="G105">
        <v>3.9651749999999999</v>
      </c>
      <c r="H105">
        <v>1.826287</v>
      </c>
      <c r="I105">
        <v>-0.67221719999999996</v>
      </c>
      <c r="J105">
        <v>7.6915750000000003</v>
      </c>
      <c r="K105">
        <v>74.605850000000004</v>
      </c>
      <c r="L105">
        <v>350.48770000000002</v>
      </c>
    </row>
    <row r="106" spans="1:12" x14ac:dyDescent="0.2">
      <c r="A106" s="1">
        <v>42965.621238425927</v>
      </c>
      <c r="B106">
        <v>567.08799999999997</v>
      </c>
      <c r="C106">
        <v>34</v>
      </c>
      <c r="D106" t="s">
        <v>36</v>
      </c>
      <c r="E106" t="s">
        <v>4</v>
      </c>
      <c r="F106" t="s">
        <v>6</v>
      </c>
      <c r="G106">
        <v>-5.3539859999999999</v>
      </c>
      <c r="H106">
        <v>1.832784</v>
      </c>
      <c r="I106">
        <v>9.3107480000000002</v>
      </c>
      <c r="J106">
        <v>11.47213</v>
      </c>
      <c r="K106">
        <v>52.449179999999998</v>
      </c>
      <c r="L106">
        <v>356.44510000000002</v>
      </c>
    </row>
    <row r="107" spans="1:12" x14ac:dyDescent="0.2">
      <c r="A107" s="1">
        <v>42965.621249999997</v>
      </c>
      <c r="B107">
        <v>568.10889999999995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1.832784</v>
      </c>
      <c r="I107">
        <v>2.7240000000000002</v>
      </c>
      <c r="J107">
        <v>14.860760000000001</v>
      </c>
      <c r="K107">
        <v>59.22551</v>
      </c>
      <c r="L107">
        <v>358.09399999999999</v>
      </c>
    </row>
    <row r="108" spans="1:12" x14ac:dyDescent="0.2">
      <c r="A108" s="1">
        <v>42965.621342592596</v>
      </c>
      <c r="B108">
        <v>575.48940000000005</v>
      </c>
      <c r="C108">
        <v>35</v>
      </c>
      <c r="D108" t="s">
        <v>35</v>
      </c>
      <c r="E108" t="s">
        <v>5</v>
      </c>
      <c r="F108" t="s">
        <v>2</v>
      </c>
      <c r="G108">
        <v>1.6E-2</v>
      </c>
      <c r="H108">
        <v>1.832784</v>
      </c>
      <c r="I108">
        <v>2.7240000000000002</v>
      </c>
      <c r="J108">
        <v>11.13547</v>
      </c>
      <c r="K108">
        <v>186.56630000000001</v>
      </c>
      <c r="L108">
        <v>354.05450000000002</v>
      </c>
    </row>
    <row r="109" spans="1:12" x14ac:dyDescent="0.2">
      <c r="A109" s="1">
        <v>42965.621782407405</v>
      </c>
      <c r="B109">
        <v>614.18330000000003</v>
      </c>
      <c r="C109">
        <v>35</v>
      </c>
      <c r="D109" t="s">
        <v>36</v>
      </c>
      <c r="E109" t="s">
        <v>5</v>
      </c>
      <c r="F109" t="s">
        <v>2</v>
      </c>
      <c r="G109">
        <v>-4.4414550000000004</v>
      </c>
      <c r="H109">
        <v>1.8274170000000001</v>
      </c>
      <c r="I109">
        <v>-6.6972069999999997</v>
      </c>
      <c r="J109">
        <v>10.047409999999999</v>
      </c>
      <c r="K109">
        <v>125.23090000000001</v>
      </c>
      <c r="L109">
        <v>358.93619999999999</v>
      </c>
    </row>
    <row r="110" spans="1:12" x14ac:dyDescent="0.2">
      <c r="A110" s="1">
        <v>42965.621793981481</v>
      </c>
      <c r="B110">
        <v>615.25429999999994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1.8215170000000001</v>
      </c>
      <c r="I110">
        <v>1.8169999999999999</v>
      </c>
      <c r="J110">
        <v>12.567299999999999</v>
      </c>
      <c r="K110">
        <v>129.67359999999999</v>
      </c>
      <c r="L110">
        <v>356.97050000000002</v>
      </c>
    </row>
    <row r="111" spans="1:12" x14ac:dyDescent="0.2">
      <c r="A111" s="1">
        <v>42965.621840277781</v>
      </c>
      <c r="B111">
        <v>618.80229999999995</v>
      </c>
      <c r="C111">
        <v>36</v>
      </c>
      <c r="D111" t="s">
        <v>35</v>
      </c>
      <c r="E111" t="s">
        <v>3</v>
      </c>
      <c r="F111" t="s">
        <v>4</v>
      </c>
      <c r="G111">
        <v>3.457916</v>
      </c>
      <c r="H111">
        <v>1.800416</v>
      </c>
      <c r="I111">
        <v>1.701943</v>
      </c>
      <c r="J111">
        <v>18.27908</v>
      </c>
      <c r="K111">
        <v>78.421970000000002</v>
      </c>
      <c r="L111">
        <v>2.9966919999999999</v>
      </c>
    </row>
    <row r="112" spans="1:12" x14ac:dyDescent="0.2">
      <c r="A112" s="1">
        <v>42965.621979166666</v>
      </c>
      <c r="B112">
        <v>630.56690000000003</v>
      </c>
      <c r="C112">
        <v>36</v>
      </c>
      <c r="D112" t="s">
        <v>36</v>
      </c>
      <c r="E112" t="s">
        <v>3</v>
      </c>
      <c r="F112" t="s">
        <v>4</v>
      </c>
      <c r="G112">
        <v>2.3576329999999999</v>
      </c>
      <c r="H112">
        <v>1.820222</v>
      </c>
      <c r="I112">
        <v>-2.0376810000000001</v>
      </c>
      <c r="J112">
        <v>12.394550000000001</v>
      </c>
      <c r="K112">
        <v>264.07429999999999</v>
      </c>
      <c r="L112">
        <v>355.44420000000002</v>
      </c>
    </row>
    <row r="113" spans="1:12" x14ac:dyDescent="0.2">
      <c r="A113" s="1">
        <v>42965.621990740743</v>
      </c>
      <c r="B113">
        <v>631.85550000000001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1.82101</v>
      </c>
      <c r="I113">
        <v>0.09</v>
      </c>
      <c r="J113">
        <v>11.655939999999999</v>
      </c>
      <c r="K113">
        <v>258.6148</v>
      </c>
      <c r="L113">
        <v>357.02510000000001</v>
      </c>
    </row>
    <row r="114" spans="1:12" x14ac:dyDescent="0.2">
      <c r="A114" s="1">
        <v>42965.622071759259</v>
      </c>
      <c r="B114">
        <v>638.59939999999995</v>
      </c>
      <c r="C114">
        <v>37</v>
      </c>
      <c r="D114" t="s">
        <v>35</v>
      </c>
      <c r="E114" t="s">
        <v>6</v>
      </c>
      <c r="F114" t="s">
        <v>33</v>
      </c>
      <c r="G114">
        <v>-4.0122059999999999</v>
      </c>
      <c r="H114">
        <v>1.8139380000000001</v>
      </c>
      <c r="I114">
        <v>0.21947729999999999</v>
      </c>
      <c r="J114">
        <v>13.452109999999999</v>
      </c>
      <c r="K114">
        <v>78.557590000000005</v>
      </c>
      <c r="L114">
        <v>357.29829999999998</v>
      </c>
    </row>
    <row r="115" spans="1:12" x14ac:dyDescent="0.2">
      <c r="A115" s="1">
        <v>42965.622245370374</v>
      </c>
      <c r="B115">
        <v>654.44730000000004</v>
      </c>
      <c r="C115">
        <v>37</v>
      </c>
      <c r="D115" t="s">
        <v>36</v>
      </c>
      <c r="E115" t="s">
        <v>6</v>
      </c>
      <c r="F115" t="s">
        <v>33</v>
      </c>
      <c r="G115">
        <v>-4.3259420000000004</v>
      </c>
      <c r="H115">
        <v>1.8252699999999999</v>
      </c>
      <c r="I115">
        <v>-4.9861120000000003</v>
      </c>
      <c r="J115">
        <v>6.0368570000000004</v>
      </c>
      <c r="K115">
        <v>71.615830000000003</v>
      </c>
      <c r="L115">
        <v>352.87540000000001</v>
      </c>
    </row>
    <row r="116" spans="1:12" x14ac:dyDescent="0.2">
      <c r="A116" s="1">
        <v>42965.62232638889</v>
      </c>
      <c r="B116">
        <v>661.25810000000001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1.839691</v>
      </c>
      <c r="I116">
        <v>-4.3440000000000003</v>
      </c>
      <c r="J116">
        <v>4.1271190000000004</v>
      </c>
      <c r="K116">
        <v>245.91229999999999</v>
      </c>
      <c r="L116">
        <v>354.72</v>
      </c>
    </row>
    <row r="117" spans="1:12" x14ac:dyDescent="0.2">
      <c r="A117" s="1">
        <v>42965.622372685182</v>
      </c>
      <c r="B117">
        <v>665.45860000000005</v>
      </c>
      <c r="C117">
        <v>38</v>
      </c>
      <c r="D117" t="s">
        <v>35</v>
      </c>
      <c r="E117" t="s">
        <v>2</v>
      </c>
      <c r="F117" t="s">
        <v>0</v>
      </c>
      <c r="G117">
        <v>3.499565</v>
      </c>
      <c r="H117">
        <v>1.813266</v>
      </c>
      <c r="I117">
        <v>-4.4231579999999999</v>
      </c>
      <c r="J117">
        <v>6.8842059999999998</v>
      </c>
      <c r="K117">
        <v>242.05410000000001</v>
      </c>
      <c r="L117">
        <v>348.1583</v>
      </c>
    </row>
    <row r="118" spans="1:12" x14ac:dyDescent="0.2">
      <c r="A118" s="1">
        <v>42965.622789351852</v>
      </c>
      <c r="B118">
        <v>700.91959999999995</v>
      </c>
      <c r="C118">
        <v>38</v>
      </c>
      <c r="D118" t="s">
        <v>36</v>
      </c>
      <c r="E118" t="s">
        <v>2</v>
      </c>
      <c r="F118" t="s">
        <v>0</v>
      </c>
      <c r="G118">
        <v>-5.2608319999999997</v>
      </c>
      <c r="H118">
        <v>1.827906</v>
      </c>
      <c r="I118">
        <v>3.4801090000000001</v>
      </c>
      <c r="J118">
        <v>13.550129999999999</v>
      </c>
      <c r="K118">
        <v>225.42529999999999</v>
      </c>
      <c r="L118">
        <v>357.5702</v>
      </c>
    </row>
    <row r="119" spans="1:12" x14ac:dyDescent="0.2">
      <c r="A119" s="1">
        <v>42965.622800925928</v>
      </c>
      <c r="B119">
        <v>702.10770000000002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1.8261320000000001</v>
      </c>
      <c r="I119">
        <v>4.1399999999999997</v>
      </c>
      <c r="J119">
        <v>12.6387</v>
      </c>
      <c r="K119">
        <v>235.35159999999999</v>
      </c>
      <c r="L119">
        <v>358.07799999999997</v>
      </c>
    </row>
    <row r="120" spans="1:12" x14ac:dyDescent="0.2">
      <c r="A120" s="1">
        <v>42965.622847222221</v>
      </c>
      <c r="B120">
        <v>706.12379999999996</v>
      </c>
      <c r="C120">
        <v>39</v>
      </c>
      <c r="D120" t="s">
        <v>35</v>
      </c>
      <c r="E120" t="s">
        <v>1</v>
      </c>
      <c r="F120" t="s">
        <v>5</v>
      </c>
      <c r="G120">
        <v>-4.1562859999999997</v>
      </c>
      <c r="H120">
        <v>1.827537</v>
      </c>
      <c r="I120">
        <v>4.1751069999999997</v>
      </c>
      <c r="J120">
        <v>12.869759999999999</v>
      </c>
      <c r="K120">
        <v>221.9862</v>
      </c>
      <c r="L120">
        <v>358.85899999999998</v>
      </c>
    </row>
    <row r="121" spans="1:12" x14ac:dyDescent="0.2">
      <c r="A121" s="1">
        <v>42965.623356481483</v>
      </c>
      <c r="B121">
        <v>750.22090000000003</v>
      </c>
      <c r="C121">
        <v>39</v>
      </c>
      <c r="D121" t="s">
        <v>36</v>
      </c>
      <c r="E121" t="s">
        <v>1</v>
      </c>
      <c r="F121" t="s">
        <v>5</v>
      </c>
      <c r="G121">
        <v>2.4057520000000001</v>
      </c>
      <c r="H121">
        <v>1.8412919999999999</v>
      </c>
      <c r="I121">
        <v>-8.6792090000000002</v>
      </c>
      <c r="J121">
        <v>6.4230280000000004</v>
      </c>
      <c r="K121">
        <v>359.24650000000003</v>
      </c>
      <c r="L121">
        <v>353.85849999999999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(40)'!$C$2:$L$248,3,0)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(40)'!$C$2:$L$248,5,1)</f>
        <v>-0.81621929999999998</v>
      </c>
      <c r="G2" s="3">
        <f>VLOOKUP($A2,'Summary Data (40)'!$C$2:$L$248,6,1)</f>
        <v>1.8676079999999999</v>
      </c>
      <c r="H2" s="3">
        <f>VLOOKUP($A2,'Summary Data (40)'!$C$2:$L$248,7,1)</f>
        <v>-4.0893579999999998</v>
      </c>
      <c r="I2" s="3" t="str">
        <f>VLOOKUP($A2,'Summary Data (40)'!$C$2:$L$248,4,0)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4.3648778407763128E-2</v>
      </c>
      <c r="N2" s="3">
        <f t="shared" ref="N2:N41" si="1">ABS(SQRT((F2-C2)^2+(H2-E2)^2))</f>
        <v>4.3396966036183331</v>
      </c>
      <c r="O2" s="3">
        <f t="shared" ref="O2:O41" si="2">ABS(SQRT((J2-C2)^2+(L2-E2)^2))</f>
        <v>4.3718971854333439</v>
      </c>
      <c r="P2" s="3">
        <f t="shared" ref="P2:P41" si="3">(N2-O2)</f>
        <v>-3.2200581815010842E-2</v>
      </c>
      <c r="Q2" s="5">
        <f t="shared" ref="Q2:Q41" si="4">P2/O2</f>
        <v>-7.3653566058917075E-3</v>
      </c>
      <c r="R2" s="3">
        <f t="shared" ref="R2:R41" si="5">ATAN2(J2-C2,L2-E2)*180/PI()</f>
        <v>177.02371934116897</v>
      </c>
      <c r="S2" s="3">
        <f t="shared" ref="S2:S41" si="6">ATAN2(F2-C2,H2-E2)*180/PI()</f>
        <v>176.6361019030974</v>
      </c>
      <c r="T2" s="3">
        <f t="shared" ref="T2:T41" si="7">IF(ABS(R2-S2)&gt;180,360-ABS(R2-S2),ABS(R2-S2))</f>
        <v>0.38761743807157245</v>
      </c>
      <c r="U2" s="3">
        <f>VLOOKUP($A2,'Summary Data (40)'!$C$2:$N$248,11,0)</f>
        <v>0</v>
      </c>
      <c r="V2" s="3">
        <f>VLOOKUP($A2,'Summary Data (40)'!$C$2:$N$248,12,1)</f>
        <v>0</v>
      </c>
      <c r="W2" s="3">
        <f>VLOOKUP($A2,'Summary Data (40)'!$C$2:$N$248,11,1)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(40)'!$C$2:$L$248,3,0)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(40)'!$C$2:$L$248,5,1)</f>
        <v>3.5039829999999998</v>
      </c>
      <c r="G3" s="3">
        <f>VLOOKUP($A3,'Summary Data (40)'!$C$2:$L$248,6,1)</f>
        <v>1.8653470000000001</v>
      </c>
      <c r="H3" s="3">
        <f>VLOOKUP($A3,'Summary Data (40)'!$C$2:$L$248,7,1)</f>
        <v>-4.3532729999999997</v>
      </c>
      <c r="I3" s="3" t="str">
        <f>VLOOKUP($A3,'Summary Data (40)'!$C$2:$L$248,4,0)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1.5178827952117821E-2</v>
      </c>
      <c r="N3" s="3">
        <f t="shared" si="1"/>
        <v>7.8901089044966923</v>
      </c>
      <c r="O3" s="3">
        <f t="shared" si="2"/>
        <v>7.8871175977032326</v>
      </c>
      <c r="P3" s="3">
        <f t="shared" si="3"/>
        <v>2.9913067934597137E-3</v>
      </c>
      <c r="Q3" s="5">
        <f t="shared" si="4"/>
        <v>3.7926489067828745E-4</v>
      </c>
      <c r="R3" s="3">
        <f t="shared" si="5"/>
        <v>-63.65586590726528</v>
      </c>
      <c r="S3" s="3">
        <f t="shared" si="6"/>
        <v>-63.76394925929462</v>
      </c>
      <c r="T3" s="3">
        <f t="shared" si="7"/>
        <v>0.10808335202933961</v>
      </c>
      <c r="U3" s="3">
        <f>VLOOKUP($A3,'Summary Data (40)'!$C$2:$N$248,11,0)</f>
        <v>0</v>
      </c>
      <c r="V3" s="3">
        <f>VLOOKUP($A3,'Summary Data (40)'!$C$2:$N$248,12,1)</f>
        <v>0</v>
      </c>
      <c r="W3" s="3">
        <f>VLOOKUP($A3,'Summary Data (40)'!$C$2:$N$248,11,1)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(40)'!$C$2:$L$248,3,0)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(40)'!$C$2:$L$248,5,1)</f>
        <v>3.3896959999999998</v>
      </c>
      <c r="G4" s="3">
        <f>VLOOKUP($A4,'Summary Data (40)'!$C$2:$L$248,6,1)</f>
        <v>1.860179</v>
      </c>
      <c r="H4" s="3">
        <f>VLOOKUP($A4,'Summary Data (40)'!$C$2:$L$248,7,1)</f>
        <v>1.815977</v>
      </c>
      <c r="I4" s="3" t="str">
        <f>VLOOKUP($A4,'Summary Data (40)'!$C$2:$L$248,4,0)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1.6727311350004419E-2</v>
      </c>
      <c r="N4" s="3">
        <f t="shared" si="1"/>
        <v>8.0441466491446434</v>
      </c>
      <c r="O4" s="3">
        <f t="shared" si="2"/>
        <v>8.0292617967033557</v>
      </c>
      <c r="P4" s="3">
        <f t="shared" si="3"/>
        <v>1.4884852441287677E-2</v>
      </c>
      <c r="Q4" s="5">
        <f t="shared" si="4"/>
        <v>1.8538257710564478E-3</v>
      </c>
      <c r="R4" s="3">
        <f t="shared" si="5"/>
        <v>23.666151625811782</v>
      </c>
      <c r="S4" s="3">
        <f t="shared" si="6"/>
        <v>23.611742610403489</v>
      </c>
      <c r="T4" s="3">
        <f t="shared" si="7"/>
        <v>5.4409015408293016E-2</v>
      </c>
      <c r="U4" s="3">
        <f>VLOOKUP($A4,'Summary Data (40)'!$C$2:$N$248,11,0)</f>
        <v>0</v>
      </c>
      <c r="V4" s="3">
        <f>VLOOKUP($A4,'Summary Data (40)'!$C$2:$N$248,12,1)</f>
        <v>0</v>
      </c>
      <c r="W4" s="3">
        <f>VLOOKUP($A4,'Summary Data (40)'!$C$2:$N$248,11,1)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(40)'!$C$2:$L$248,3,0)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(40)'!$C$2:$L$248,5,1)</f>
        <v>-4.0818019999999997</v>
      </c>
      <c r="G5" s="3">
        <f>VLOOKUP($A5,'Summary Data (40)'!$C$2:$L$248,6,1)</f>
        <v>1.8605510000000001</v>
      </c>
      <c r="H5" s="3">
        <f>VLOOKUP($A5,'Summary Data (40)'!$C$2:$L$248,7,1)</f>
        <v>4.1434369999999996</v>
      </c>
      <c r="I5" s="3" t="str">
        <f>VLOOKUP($A5,'Summary Data (40)'!$C$2:$L$248,4,0)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4.4344304031069459E-3</v>
      </c>
      <c r="N5" s="3">
        <f t="shared" si="1"/>
        <v>8.8701388714141896</v>
      </c>
      <c r="O5" s="3">
        <f t="shared" si="2"/>
        <v>8.8659173242253964</v>
      </c>
      <c r="P5" s="3">
        <f t="shared" si="3"/>
        <v>4.2215471887931955E-3</v>
      </c>
      <c r="Q5" s="5">
        <f t="shared" si="4"/>
        <v>4.7615458552248868E-4</v>
      </c>
      <c r="R5" s="3">
        <f t="shared" si="5"/>
        <v>111.35858600069317</v>
      </c>
      <c r="S5" s="3">
        <f t="shared" si="6"/>
        <v>111.36735650075369</v>
      </c>
      <c r="T5" s="3">
        <f t="shared" si="7"/>
        <v>8.770500060521158E-3</v>
      </c>
      <c r="U5" s="3">
        <f>VLOOKUP($A5,'Summary Data (40)'!$C$2:$N$248,11,0)</f>
        <v>0</v>
      </c>
      <c r="V5" s="3">
        <f>VLOOKUP($A5,'Summary Data (40)'!$C$2:$N$248,12,1)</f>
        <v>0</v>
      </c>
      <c r="W5" s="3">
        <f>VLOOKUP($A5,'Summary Data (40)'!$C$2:$N$248,11,1)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(40)'!$C$2:$L$248,3,0)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(40)'!$C$2:$L$248,5,1)</f>
        <v>3.9162539999999999</v>
      </c>
      <c r="G6" s="3">
        <f>VLOOKUP($A6,'Summary Data (40)'!$C$2:$L$248,6,1)</f>
        <v>1.8618239999999999</v>
      </c>
      <c r="H6" s="3">
        <f>VLOOKUP($A6,'Summary Data (40)'!$C$2:$L$248,7,1)</f>
        <v>-0.66830809999999996</v>
      </c>
      <c r="I6" s="3" t="str">
        <f>VLOOKUP($A6,'Summary Data (40)'!$C$2:$L$248,4,0)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5.0062402669070558E-3</v>
      </c>
      <c r="N6" s="3">
        <f t="shared" si="1"/>
        <v>2.5439892414162468</v>
      </c>
      <c r="O6" s="3">
        <f t="shared" si="2"/>
        <v>2.5489458605470614</v>
      </c>
      <c r="P6" s="3">
        <f t="shared" si="3"/>
        <v>-4.9566191308145768E-3</v>
      </c>
      <c r="Q6" s="5">
        <f t="shared" si="4"/>
        <v>-1.9445760726164558E-3</v>
      </c>
      <c r="R6" s="3">
        <f t="shared" si="5"/>
        <v>-77.654050540796021</v>
      </c>
      <c r="S6" s="3">
        <f t="shared" si="6"/>
        <v>-77.669870670702451</v>
      </c>
      <c r="T6" s="3">
        <f t="shared" si="7"/>
        <v>1.5820129906430225E-2</v>
      </c>
      <c r="U6" s="3">
        <f>VLOOKUP($A6,'Summary Data (40)'!$C$2:$N$248,11,0)</f>
        <v>0</v>
      </c>
      <c r="V6" s="3">
        <f>VLOOKUP($A6,'Summary Data (40)'!$C$2:$N$248,12,1)</f>
        <v>0</v>
      </c>
      <c r="W6" s="3">
        <f>VLOOKUP($A6,'Summary Data (40)'!$C$2:$N$248,11,1)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(40)'!$C$2:$L$248,3,0)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(40)'!$C$2:$L$248,5,1)</f>
        <v>-0.86091989999999996</v>
      </c>
      <c r="G7" s="3">
        <f>VLOOKUP($A7,'Summary Data (40)'!$C$2:$L$248,6,1)</f>
        <v>1.8631070000000001</v>
      </c>
      <c r="H7" s="3">
        <f>VLOOKUP($A7,'Summary Data (40)'!$C$2:$L$248,7,1)</f>
        <v>-4.1060119999999998</v>
      </c>
      <c r="I7" s="3" t="str">
        <f>VLOOKUP($A7,'Summary Data (40)'!$C$2:$L$248,4,0)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1.549129949390962E-2</v>
      </c>
      <c r="N7" s="3">
        <f t="shared" si="1"/>
        <v>4.3833852328035245</v>
      </c>
      <c r="O7" s="3">
        <f t="shared" si="2"/>
        <v>4.3718971854333439</v>
      </c>
      <c r="P7" s="3">
        <f t="shared" si="3"/>
        <v>1.148804737018061E-2</v>
      </c>
      <c r="Q7" s="5">
        <f t="shared" si="4"/>
        <v>2.6277030046492071E-3</v>
      </c>
      <c r="R7" s="3">
        <f t="shared" si="5"/>
        <v>177.02371934116897</v>
      </c>
      <c r="S7" s="3">
        <f t="shared" si="6"/>
        <v>176.88769860170814</v>
      </c>
      <c r="T7" s="3">
        <f t="shared" si="7"/>
        <v>0.13602073946083237</v>
      </c>
      <c r="U7" s="3">
        <f>VLOOKUP($A7,'Summary Data (40)'!$C$2:$N$248,11,0)</f>
        <v>0</v>
      </c>
      <c r="V7" s="3">
        <f>VLOOKUP($A7,'Summary Data (40)'!$C$2:$N$248,12,1)</f>
        <v>0</v>
      </c>
      <c r="W7" s="3">
        <f>VLOOKUP($A7,'Summary Data (40)'!$C$2:$N$248,11,1)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(40)'!$C$2:$L$248,3,0)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(40)'!$C$2:$L$248,5,1)</f>
        <v>-3.9592350000000001</v>
      </c>
      <c r="G8" s="3">
        <f>VLOOKUP($A8,'Summary Data (40)'!$C$2:$L$248,6,1)</f>
        <v>1.8587309999999999</v>
      </c>
      <c r="H8" s="3">
        <f>VLOOKUP($A8,'Summary Data (40)'!$C$2:$L$248,7,1)</f>
        <v>-1.411896</v>
      </c>
      <c r="I8" s="3" t="str">
        <f>VLOOKUP($A8,'Summary Data (40)'!$C$2:$L$248,4,0)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2.2549457665318545E-2</v>
      </c>
      <c r="N8" s="3">
        <f t="shared" si="1"/>
        <v>1.5094441626111914</v>
      </c>
      <c r="O8" s="3">
        <f t="shared" si="2"/>
        <v>1.5015515309172709</v>
      </c>
      <c r="P8" s="3">
        <f t="shared" si="3"/>
        <v>7.8926316939205154E-3</v>
      </c>
      <c r="Q8" s="5">
        <f t="shared" si="4"/>
        <v>5.256317569799984E-3</v>
      </c>
      <c r="R8" s="3">
        <f t="shared" si="5"/>
        <v>-85.071579131103505</v>
      </c>
      <c r="S8" s="3">
        <f t="shared" si="6"/>
        <v>-84.267674108643078</v>
      </c>
      <c r="T8" s="3">
        <f t="shared" si="7"/>
        <v>0.80390502246042672</v>
      </c>
      <c r="U8" s="3">
        <f>VLOOKUP($A8,'Summary Data (40)'!$C$2:$N$248,11,0)</f>
        <v>0</v>
      </c>
      <c r="V8" s="3">
        <f>VLOOKUP($A8,'Summary Data (40)'!$C$2:$N$248,12,1)</f>
        <v>0</v>
      </c>
      <c r="W8" s="3">
        <f>VLOOKUP($A8,'Summary Data (40)'!$C$2:$N$248,11,1)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(40)'!$C$2:$L$248,3,0)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(40)'!$C$2:$L$248,5,1)</f>
        <v>-4.0749399999999998</v>
      </c>
      <c r="G9" s="3">
        <f>VLOOKUP($A9,'Summary Data (40)'!$C$2:$L$248,6,1)</f>
        <v>1.8617589999999999</v>
      </c>
      <c r="H9" s="3">
        <f>VLOOKUP($A9,'Summary Data (40)'!$C$2:$L$248,7,1)</f>
        <v>4.1441410000000003</v>
      </c>
      <c r="I9" s="3" t="str">
        <f>VLOOKUP($A9,'Summary Data (40)'!$C$2:$L$248,4,0)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5.799265556948114E-3</v>
      </c>
      <c r="N9" s="3">
        <f t="shared" si="1"/>
        <v>8.8682968277725696</v>
      </c>
      <c r="O9" s="3">
        <f t="shared" si="2"/>
        <v>8.8659173242253964</v>
      </c>
      <c r="P9" s="3">
        <f t="shared" si="3"/>
        <v>2.3795035471732007E-3</v>
      </c>
      <c r="Q9" s="5">
        <f t="shared" si="4"/>
        <v>2.6838774377823277E-4</v>
      </c>
      <c r="R9" s="3">
        <f t="shared" si="5"/>
        <v>111.35858600069317</v>
      </c>
      <c r="S9" s="3">
        <f t="shared" si="6"/>
        <v>111.32441304012492</v>
      </c>
      <c r="T9" s="3">
        <f t="shared" si="7"/>
        <v>3.4172960568241706E-2</v>
      </c>
      <c r="U9" s="3">
        <f>VLOOKUP($A9,'Summary Data (40)'!$C$2:$N$248,11,0)</f>
        <v>0</v>
      </c>
      <c r="V9" s="3">
        <f>VLOOKUP($A9,'Summary Data (40)'!$C$2:$N$248,12,1)</f>
        <v>0</v>
      </c>
      <c r="W9" s="3">
        <f>VLOOKUP($A9,'Summary Data (40)'!$C$2:$N$248,11,1)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(40)'!$C$2:$L$248,3,0)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(40)'!$C$2:$L$248,5,1)</f>
        <v>3.5183430000000002</v>
      </c>
      <c r="G10" s="3">
        <f>VLOOKUP($A10,'Summary Data (40)'!$C$2:$L$248,6,1)</f>
        <v>1.861621</v>
      </c>
      <c r="H10" s="3">
        <f>VLOOKUP($A10,'Summary Data (40)'!$C$2:$L$248,7,1)</f>
        <v>-4.3467359999999999</v>
      </c>
      <c r="I10" s="3" t="str">
        <f>VLOOKUP($A10,'Summary Data (40)'!$C$2:$L$248,4,0)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3.6021306195082553E-3</v>
      </c>
      <c r="N10" s="3">
        <f t="shared" si="1"/>
        <v>7.8906092332179902</v>
      </c>
      <c r="O10" s="3">
        <f t="shared" si="2"/>
        <v>7.8871175977032326</v>
      </c>
      <c r="P10" s="3">
        <f t="shared" si="3"/>
        <v>3.4916355147576184E-3</v>
      </c>
      <c r="Q10" s="5">
        <f t="shared" si="4"/>
        <v>4.4270108458562858E-4</v>
      </c>
      <c r="R10" s="3">
        <f t="shared" si="5"/>
        <v>-63.65586590726528</v>
      </c>
      <c r="S10" s="3">
        <f t="shared" si="6"/>
        <v>-63.649435800875338</v>
      </c>
      <c r="T10" s="3">
        <f t="shared" si="7"/>
        <v>6.4301063899421251E-3</v>
      </c>
      <c r="U10" s="3">
        <f>VLOOKUP($A10,'Summary Data (40)'!$C$2:$N$248,11,0)</f>
        <v>0</v>
      </c>
      <c r="V10" s="3">
        <f>VLOOKUP($A10,'Summary Data (40)'!$C$2:$N$248,12,1)</f>
        <v>0</v>
      </c>
      <c r="W10" s="3">
        <f>VLOOKUP($A10,'Summary Data (40)'!$C$2:$N$248,11,1)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(40)'!$C$2:$L$248,3,0)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(40)'!$C$2:$L$248,5,1)</f>
        <v>-3.9978799999999999</v>
      </c>
      <c r="G11" s="3">
        <f>VLOOKUP($A11,'Summary Data (40)'!$C$2:$L$248,6,1)</f>
        <v>1.861974</v>
      </c>
      <c r="H11" s="3">
        <f>VLOOKUP($A11,'Summary Data (40)'!$C$2:$L$248,7,1)</f>
        <v>-1.4009670000000001</v>
      </c>
      <c r="I11" s="3" t="str">
        <f>VLOOKUP($A11,'Summary Data (40)'!$C$2:$L$248,4,0)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1.7614354629108573E-2</v>
      </c>
      <c r="N11" s="3">
        <f t="shared" si="1"/>
        <v>1.4951767418900686</v>
      </c>
      <c r="O11" s="3">
        <f t="shared" si="2"/>
        <v>1.5015515309172709</v>
      </c>
      <c r="P11" s="3">
        <f t="shared" si="3"/>
        <v>-6.3747890272023433E-3</v>
      </c>
      <c r="Q11" s="5">
        <f t="shared" si="4"/>
        <v>-4.2454680348586495E-3</v>
      </c>
      <c r="R11" s="3">
        <f t="shared" si="5"/>
        <v>-85.071579131103505</v>
      </c>
      <c r="S11" s="3">
        <f t="shared" si="6"/>
        <v>-85.69947923446928</v>
      </c>
      <c r="T11" s="3">
        <f t="shared" si="7"/>
        <v>0.62790010336577495</v>
      </c>
      <c r="U11" s="3">
        <f>VLOOKUP($A11,'Summary Data (40)'!$C$2:$N$248,11,0)</f>
        <v>0</v>
      </c>
      <c r="V11" s="3">
        <f>VLOOKUP($A11,'Summary Data (40)'!$C$2:$N$248,12,1)</f>
        <v>0</v>
      </c>
      <c r="W11" s="3">
        <f>VLOOKUP($A11,'Summary Data (40)'!$C$2:$N$248,11,1)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(40)'!$C$2:$L$248,3,0)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(40)'!$C$2:$L$248,5,1)</f>
        <v>2.7725070000000001E-2</v>
      </c>
      <c r="G12" s="3">
        <f>VLOOKUP($A12,'Summary Data (40)'!$C$2:$L$248,6,1)</f>
        <v>1.860862</v>
      </c>
      <c r="H12" s="3">
        <f>VLOOKUP($A12,'Summary Data (40)'!$C$2:$L$248,7,1)</f>
        <v>2.7115300000000002</v>
      </c>
      <c r="I12" s="3" t="str">
        <f>VLOOKUP($A12,'Summary Data (40)'!$C$2:$L$248,4,0)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1.7116604993540615E-2</v>
      </c>
      <c r="N12" s="3">
        <f t="shared" si="1"/>
        <v>4.3480705308753329</v>
      </c>
      <c r="O12" s="3">
        <f t="shared" si="2"/>
        <v>4.3329067610554466</v>
      </c>
      <c r="P12" s="3">
        <f t="shared" si="3"/>
        <v>1.5163769819886319E-2</v>
      </c>
      <c r="Q12" s="5">
        <f t="shared" si="4"/>
        <v>3.4996760041502944E-3</v>
      </c>
      <c r="R12" s="3">
        <f t="shared" si="5"/>
        <v>-19.074748100261683</v>
      </c>
      <c r="S12" s="3">
        <f t="shared" si="6"/>
        <v>-19.179554260422627</v>
      </c>
      <c r="T12" s="3">
        <f t="shared" si="7"/>
        <v>0.10480616016094402</v>
      </c>
      <c r="U12" s="3">
        <f>VLOOKUP($A12,'Summary Data (40)'!$C$2:$N$248,11,0)</f>
        <v>0</v>
      </c>
      <c r="V12" s="3">
        <f>VLOOKUP($A12,'Summary Data (40)'!$C$2:$N$248,12,1)</f>
        <v>0</v>
      </c>
      <c r="W12" s="3">
        <f>VLOOKUP($A12,'Summary Data (40)'!$C$2:$N$248,11,1)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(40)'!$C$2:$L$248,3,0)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(40)'!$C$2:$L$248,5,1)</f>
        <v>-0.84616599999999997</v>
      </c>
      <c r="G13" s="3">
        <f>VLOOKUP($A13,'Summary Data (40)'!$C$2:$L$248,6,1)</f>
        <v>1.8611869999999999</v>
      </c>
      <c r="H13" s="3">
        <f>VLOOKUP($A13,'Summary Data (40)'!$C$2:$L$248,7,1)</f>
        <v>-4.1199960000000004</v>
      </c>
      <c r="I13" s="3" t="str">
        <f>VLOOKUP($A13,'Summary Data (40)'!$C$2:$L$248,4,0)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4.86575502877022E-3</v>
      </c>
      <c r="N13" s="3">
        <f t="shared" si="1"/>
        <v>4.3679136900323483</v>
      </c>
      <c r="O13" s="3">
        <f t="shared" si="2"/>
        <v>4.3718971854333439</v>
      </c>
      <c r="P13" s="3">
        <f t="shared" si="3"/>
        <v>-3.9834954009956292E-3</v>
      </c>
      <c r="Q13" s="5">
        <f t="shared" si="4"/>
        <v>-9.1115944223669652E-4</v>
      </c>
      <c r="R13" s="3">
        <f t="shared" si="5"/>
        <v>177.02371934116897</v>
      </c>
      <c r="S13" s="3">
        <f t="shared" si="6"/>
        <v>177.0603548385171</v>
      </c>
      <c r="T13" s="3">
        <f t="shared" si="7"/>
        <v>3.663549734812932E-2</v>
      </c>
      <c r="U13" s="3">
        <f>VLOOKUP($A13,'Summary Data (40)'!$C$2:$N$248,11,0)</f>
        <v>0</v>
      </c>
      <c r="V13" s="3">
        <f>VLOOKUP($A13,'Summary Data (40)'!$C$2:$N$248,12,1)</f>
        <v>0</v>
      </c>
      <c r="W13" s="3">
        <f>VLOOKUP($A13,'Summary Data (40)'!$C$2:$N$248,11,1)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(40)'!$C$2:$L$248,3,0)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(40)'!$C$2:$L$248,5,1)</f>
        <v>3.3602609999999999</v>
      </c>
      <c r="G14" s="3">
        <f>VLOOKUP($A14,'Summary Data (40)'!$C$2:$L$248,6,1)</f>
        <v>1.8624799999999999</v>
      </c>
      <c r="H14" s="3">
        <f>VLOOKUP($A14,'Summary Data (40)'!$C$2:$L$248,7,1)</f>
        <v>1.8260780000000001</v>
      </c>
      <c r="I14" s="3" t="str">
        <f>VLOOKUP($A14,'Summary Data (40)'!$C$2:$L$248,4,0)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1.5642640601893583E-2</v>
      </c>
      <c r="N14" s="3">
        <f t="shared" si="1"/>
        <v>8.0212493583110227</v>
      </c>
      <c r="O14" s="3">
        <f t="shared" si="2"/>
        <v>8.0292617967033557</v>
      </c>
      <c r="P14" s="3">
        <f t="shared" si="3"/>
        <v>-8.01243839233301E-3</v>
      </c>
      <c r="Q14" s="5">
        <f t="shared" si="4"/>
        <v>-9.9790473834378474E-4</v>
      </c>
      <c r="R14" s="3">
        <f t="shared" si="5"/>
        <v>23.666151625811782</v>
      </c>
      <c r="S14" s="3">
        <f t="shared" si="6"/>
        <v>23.762068295258633</v>
      </c>
      <c r="T14" s="3">
        <f t="shared" si="7"/>
        <v>9.5916669446850733E-2</v>
      </c>
      <c r="U14" s="3">
        <f>VLOOKUP($A14,'Summary Data (40)'!$C$2:$N$248,11,0)</f>
        <v>0</v>
      </c>
      <c r="V14" s="3">
        <f>VLOOKUP($A14,'Summary Data (40)'!$C$2:$N$248,12,1)</f>
        <v>0</v>
      </c>
      <c r="W14" s="3">
        <f>VLOOKUP($A14,'Summary Data (40)'!$C$2:$N$248,11,1)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(40)'!$C$2:$L$248,3,0)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(40)'!$C$2:$L$248,5,1)</f>
        <v>-3.9777770000000001</v>
      </c>
      <c r="G15" s="3">
        <f>VLOOKUP($A15,'Summary Data (40)'!$C$2:$L$248,6,1)</f>
        <v>1.8604560000000001</v>
      </c>
      <c r="H15" s="3">
        <f>VLOOKUP($A15,'Summary Data (40)'!$C$2:$L$248,7,1)</f>
        <v>-1.4090100000000001</v>
      </c>
      <c r="I15" s="3" t="str">
        <f>VLOOKUP($A15,'Summary Data (40)'!$C$2:$L$248,4,0)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4.4099692742693222E-3</v>
      </c>
      <c r="N15" s="3">
        <f t="shared" si="1"/>
        <v>1.5048301903633514</v>
      </c>
      <c r="O15" s="3">
        <f t="shared" si="2"/>
        <v>1.5015515309172709</v>
      </c>
      <c r="P15" s="3">
        <f t="shared" si="3"/>
        <v>3.278659446080523E-3</v>
      </c>
      <c r="Q15" s="5">
        <f t="shared" si="4"/>
        <v>2.1835144372818484E-3</v>
      </c>
      <c r="R15" s="3">
        <f t="shared" si="5"/>
        <v>-85.071579131103505</v>
      </c>
      <c r="S15" s="3">
        <f t="shared" si="6"/>
        <v>-84.959164184497581</v>
      </c>
      <c r="T15" s="3">
        <f t="shared" si="7"/>
        <v>0.11241494660592366</v>
      </c>
      <c r="U15" s="3">
        <f>VLOOKUP($A15,'Summary Data (40)'!$C$2:$N$248,11,0)</f>
        <v>0</v>
      </c>
      <c r="V15" s="3">
        <f>VLOOKUP($A15,'Summary Data (40)'!$C$2:$N$248,12,1)</f>
        <v>0</v>
      </c>
      <c r="W15" s="3">
        <f>VLOOKUP($A15,'Summary Data (40)'!$C$2:$N$248,11,1)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(40)'!$C$2:$L$248,3,0)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(40)'!$C$2:$L$248,5,1)</f>
        <v>2.3879330000000001E-2</v>
      </c>
      <c r="G16" s="3">
        <f>VLOOKUP($A16,'Summary Data (40)'!$C$2:$L$248,6,1)</f>
        <v>1.8605670000000001</v>
      </c>
      <c r="H16" s="3">
        <f>VLOOKUP($A16,'Summary Data (40)'!$C$2:$L$248,7,1)</f>
        <v>2.7183790000000001</v>
      </c>
      <c r="I16" s="3" t="str">
        <f>VLOOKUP($A16,'Summary Data (40)'!$C$2:$L$248,4,0)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9.6788161594743138E-3</v>
      </c>
      <c r="N16" s="3">
        <f t="shared" si="1"/>
        <v>4.3421912744813813</v>
      </c>
      <c r="O16" s="3">
        <f t="shared" si="2"/>
        <v>4.3329067610554466</v>
      </c>
      <c r="P16" s="3">
        <f t="shared" si="3"/>
        <v>9.2845134259347262E-3</v>
      </c>
      <c r="Q16" s="5">
        <f t="shared" si="4"/>
        <v>2.1427909571894699E-3</v>
      </c>
      <c r="R16" s="3">
        <f t="shared" si="5"/>
        <v>-19.074748100261683</v>
      </c>
      <c r="S16" s="3">
        <f t="shared" si="6"/>
        <v>-19.110868344907484</v>
      </c>
      <c r="T16" s="3">
        <f t="shared" si="7"/>
        <v>3.6120244645800881E-2</v>
      </c>
      <c r="U16" s="3">
        <f>VLOOKUP($A16,'Summary Data (40)'!$C$2:$N$248,11,0)</f>
        <v>0</v>
      </c>
      <c r="V16" s="3">
        <f>VLOOKUP($A16,'Summary Data (40)'!$C$2:$N$248,12,1)</f>
        <v>0</v>
      </c>
      <c r="W16" s="3">
        <f>VLOOKUP($A16,'Summary Data (40)'!$C$2:$N$248,11,1)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(40)'!$C$2:$L$248,3,0)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(40)'!$C$2:$L$248,5,1)</f>
        <v>-4.1098400000000002</v>
      </c>
      <c r="G17" s="3">
        <f>VLOOKUP($A17,'Summary Data (40)'!$C$2:$L$248,6,1)</f>
        <v>1.86087</v>
      </c>
      <c r="H17" s="3">
        <f>VLOOKUP($A17,'Summary Data (40)'!$C$2:$L$248,7,1)</f>
        <v>8.8207229999999998E-2</v>
      </c>
      <c r="I17" s="3" t="str">
        <f>VLOOKUP($A17,'Summary Data (40)'!$C$2:$L$248,4,0)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1.7998956283351677E-3</v>
      </c>
      <c r="N17" s="3">
        <f t="shared" si="1"/>
        <v>8.0638484306566856</v>
      </c>
      <c r="O17" s="3">
        <f t="shared" si="2"/>
        <v>8.0641771433916301</v>
      </c>
      <c r="P17" s="3">
        <f t="shared" si="3"/>
        <v>-3.2871273494450293E-4</v>
      </c>
      <c r="Q17" s="5">
        <f t="shared" si="4"/>
        <v>-4.0762092535860763E-5</v>
      </c>
      <c r="R17" s="3">
        <f t="shared" si="5"/>
        <v>174.57078263739461</v>
      </c>
      <c r="S17" s="3">
        <f t="shared" si="6"/>
        <v>174.58335603475453</v>
      </c>
      <c r="T17" s="3">
        <f t="shared" si="7"/>
        <v>1.2573397359915361E-2</v>
      </c>
      <c r="U17" s="3">
        <f>VLOOKUP($A17,'Summary Data (40)'!$C$2:$N$248,11,0)</f>
        <v>0</v>
      </c>
      <c r="V17" s="3">
        <f>VLOOKUP($A17,'Summary Data (40)'!$C$2:$N$248,12,1)</f>
        <v>0</v>
      </c>
      <c r="W17" s="3">
        <f>VLOOKUP($A17,'Summary Data (40)'!$C$2:$N$248,11,1)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(40)'!$C$2:$L$248,3,0)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(40)'!$C$2:$L$248,5,1)</f>
        <v>3.914555</v>
      </c>
      <c r="G18" s="3">
        <f>VLOOKUP($A18,'Summary Data (40)'!$C$2:$L$248,6,1)</f>
        <v>1.8613869999999999</v>
      </c>
      <c r="H18" s="3">
        <f>VLOOKUP($A18,'Summary Data (40)'!$C$2:$L$248,7,1)</f>
        <v>-0.6769463</v>
      </c>
      <c r="I18" s="3" t="str">
        <f>VLOOKUP($A18,'Summary Data (40)'!$C$2:$L$248,4,0)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5.2384452550351852E-3</v>
      </c>
      <c r="N18" s="3">
        <f t="shared" si="1"/>
        <v>2.5520677822716018</v>
      </c>
      <c r="O18" s="3">
        <f t="shared" si="2"/>
        <v>2.5489458605470614</v>
      </c>
      <c r="P18" s="3">
        <f t="shared" si="3"/>
        <v>3.1219217245403996E-3</v>
      </c>
      <c r="Q18" s="5">
        <f t="shared" si="4"/>
        <v>1.2247893424736627E-3</v>
      </c>
      <c r="R18" s="3">
        <f t="shared" si="5"/>
        <v>-77.654050540796021</v>
      </c>
      <c r="S18" s="3">
        <f t="shared" si="6"/>
        <v>-77.748548079021532</v>
      </c>
      <c r="T18" s="3">
        <f t="shared" si="7"/>
        <v>9.449753822551088E-2</v>
      </c>
      <c r="U18" s="3">
        <f>VLOOKUP($A18,'Summary Data (40)'!$C$2:$N$248,11,0)</f>
        <v>0</v>
      </c>
      <c r="V18" s="3">
        <f>VLOOKUP($A18,'Summary Data (40)'!$C$2:$N$248,12,1)</f>
        <v>0</v>
      </c>
      <c r="W18" s="3">
        <f>VLOOKUP($A18,'Summary Data (40)'!$C$2:$N$248,11,1)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(40)'!$C$2:$L$248,3,0)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(40)'!$C$2:$L$248,5,1)</f>
        <v>3.3756089999999999</v>
      </c>
      <c r="G19" s="3">
        <f>VLOOKUP($A19,'Summary Data (40)'!$C$2:$L$248,6,1)</f>
        <v>1.8604670000000001</v>
      </c>
      <c r="H19" s="3">
        <f>VLOOKUP($A19,'Summary Data (40)'!$C$2:$L$248,7,1)</f>
        <v>1.815169</v>
      </c>
      <c r="I19" s="3" t="str">
        <f>VLOOKUP($A19,'Summary Data (40)'!$C$2:$L$248,4,0)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3.1873879588148368E-3</v>
      </c>
      <c r="N19" s="3">
        <f t="shared" si="1"/>
        <v>8.0309168658031815</v>
      </c>
      <c r="O19" s="3">
        <f t="shared" si="2"/>
        <v>8.0292617967033557</v>
      </c>
      <c r="P19" s="3">
        <f t="shared" si="3"/>
        <v>1.6550690998258233E-3</v>
      </c>
      <c r="Q19" s="5">
        <f t="shared" si="4"/>
        <v>2.0612967190898664E-4</v>
      </c>
      <c r="R19" s="3">
        <f t="shared" si="5"/>
        <v>23.666151625811782</v>
      </c>
      <c r="S19" s="3">
        <f t="shared" si="6"/>
        <v>23.646715499060932</v>
      </c>
      <c r="T19" s="3">
        <f t="shared" si="7"/>
        <v>1.9436126750850491E-2</v>
      </c>
      <c r="U19" s="3">
        <f>VLOOKUP($A19,'Summary Data (40)'!$C$2:$N$248,11,0)</f>
        <v>0</v>
      </c>
      <c r="V19" s="3">
        <f>VLOOKUP($A19,'Summary Data (40)'!$C$2:$N$248,12,1)</f>
        <v>0</v>
      </c>
      <c r="W19" s="3">
        <f>VLOOKUP($A19,'Summary Data (40)'!$C$2:$N$248,11,1)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(40)'!$C$2:$L$248,3,0)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(40)'!$C$2:$L$248,5,1)</f>
        <v>3.5024980000000001</v>
      </c>
      <c r="G20" s="3">
        <f>VLOOKUP($A20,'Summary Data (40)'!$C$2:$L$248,6,1)</f>
        <v>1.85972</v>
      </c>
      <c r="H20" s="3">
        <f>VLOOKUP($A20,'Summary Data (40)'!$C$2:$L$248,7,1)</f>
        <v>-4.3359139999999998</v>
      </c>
      <c r="I20" s="3" t="str">
        <f>VLOOKUP($A20,'Summary Data (40)'!$C$2:$L$248,4,0)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1.5738087558531535E-2</v>
      </c>
      <c r="N20" s="3">
        <f t="shared" si="1"/>
        <v>7.8738843013724811</v>
      </c>
      <c r="O20" s="3">
        <f t="shared" si="2"/>
        <v>7.8871175977032326</v>
      </c>
      <c r="P20" s="3">
        <f t="shared" si="3"/>
        <v>-1.3233296330751543E-2</v>
      </c>
      <c r="Q20" s="5">
        <f t="shared" si="4"/>
        <v>-1.6778368227456306E-3</v>
      </c>
      <c r="R20" s="3">
        <f t="shared" si="5"/>
        <v>-63.65586590726528</v>
      </c>
      <c r="S20" s="3">
        <f t="shared" si="6"/>
        <v>-63.717801367363464</v>
      </c>
      <c r="T20" s="3">
        <f t="shared" si="7"/>
        <v>6.1935460098183626E-2</v>
      </c>
      <c r="U20" s="3">
        <f>VLOOKUP($A20,'Summary Data (40)'!$C$2:$N$248,11,0)</f>
        <v>0</v>
      </c>
      <c r="V20" s="3">
        <f>VLOOKUP($A20,'Summary Data (40)'!$C$2:$N$248,12,1)</f>
        <v>0</v>
      </c>
      <c r="W20" s="3">
        <f>VLOOKUP($A20,'Summary Data (40)'!$C$2:$N$248,11,1)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(40)'!$C$2:$L$248,3,0)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(40)'!$C$2:$L$248,5,1)</f>
        <v>3.9299529999999998</v>
      </c>
      <c r="G21" s="3">
        <f>VLOOKUP($A21,'Summary Data (40)'!$C$2:$L$248,6,1)</f>
        <v>1.8572390000000001</v>
      </c>
      <c r="H21" s="3">
        <f>VLOOKUP($A21,'Summary Data (40)'!$C$2:$L$248,7,1)</f>
        <v>-0.69143359999999998</v>
      </c>
      <c r="I21" s="3" t="str">
        <f>VLOOKUP($A21,'Summary Data (40)'!$C$2:$L$248,4,0)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2.1969793307174957E-2</v>
      </c>
      <c r="N21" s="3">
        <f t="shared" si="1"/>
        <v>2.5695205330601971</v>
      </c>
      <c r="O21" s="3">
        <f t="shared" si="2"/>
        <v>2.5489458605470614</v>
      </c>
      <c r="P21" s="3">
        <f t="shared" si="3"/>
        <v>2.0574672513135717E-2</v>
      </c>
      <c r="Q21" s="5">
        <f t="shared" si="4"/>
        <v>8.0718358249947005E-3</v>
      </c>
      <c r="R21" s="3">
        <f t="shared" si="5"/>
        <v>-77.654050540796021</v>
      </c>
      <c r="S21" s="3">
        <f t="shared" si="6"/>
        <v>-77.481568497630306</v>
      </c>
      <c r="T21" s="3">
        <f t="shared" si="7"/>
        <v>0.17248204316571503</v>
      </c>
      <c r="U21" s="3">
        <f>VLOOKUP($A21,'Summary Data (40)'!$C$2:$N$248,11,0)</f>
        <v>0</v>
      </c>
      <c r="V21" s="3">
        <f>VLOOKUP($A21,'Summary Data (40)'!$C$2:$N$248,12,1)</f>
        <v>0</v>
      </c>
      <c r="W21" s="3">
        <f>VLOOKUP($A21,'Summary Data (40)'!$C$2:$N$248,11,1)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(40)'!$C$2:$L$248,3,0)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(40)'!$C$2:$L$248,5,1)</f>
        <v>-3.9868139999999999</v>
      </c>
      <c r="G22" s="3">
        <f>VLOOKUP($A22,'Summary Data (40)'!$C$2:$L$248,6,1)</f>
        <v>1.8603479999999999</v>
      </c>
      <c r="H22" s="3">
        <f>VLOOKUP($A22,'Summary Data (40)'!$C$2:$L$248,7,1)</f>
        <v>-1.410933</v>
      </c>
      <c r="I22" s="3" t="str">
        <f>VLOOKUP($A22,'Summary Data (40)'!$C$2:$L$248,4,0)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7.6247678653189556E-3</v>
      </c>
      <c r="N22" s="3">
        <f t="shared" si="1"/>
        <v>1.5059796350166892</v>
      </c>
      <c r="O22" s="3">
        <f t="shared" si="2"/>
        <v>1.5015515309172709</v>
      </c>
      <c r="P22" s="3">
        <f t="shared" si="3"/>
        <v>4.4281040994182952E-3</v>
      </c>
      <c r="Q22" s="5">
        <f t="shared" si="4"/>
        <v>2.9490190701036054E-3</v>
      </c>
      <c r="R22" s="3">
        <f t="shared" si="5"/>
        <v>-85.071579131103505</v>
      </c>
      <c r="S22" s="3">
        <f t="shared" si="6"/>
        <v>-85.308082331152193</v>
      </c>
      <c r="T22" s="3">
        <f t="shared" si="7"/>
        <v>0.23650320004868775</v>
      </c>
      <c r="U22" s="3">
        <f>VLOOKUP($A22,'Summary Data (40)'!$C$2:$N$248,11,0)</f>
        <v>0</v>
      </c>
      <c r="V22" s="3">
        <f>VLOOKUP($A22,'Summary Data (40)'!$C$2:$N$248,12,1)</f>
        <v>0</v>
      </c>
      <c r="W22" s="3">
        <f>VLOOKUP($A22,'Summary Data (40)'!$C$2:$N$248,11,1)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(40)'!$C$2:$L$248,3,0)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(40)'!$C$2:$L$248,5,1)</f>
        <v>-0.86170069999999999</v>
      </c>
      <c r="G23" s="3">
        <f>VLOOKUP($A23,'Summary Data (40)'!$C$2:$L$248,6,1)</f>
        <v>1.86147</v>
      </c>
      <c r="H23" s="3">
        <f>VLOOKUP($A23,'Summary Data (40)'!$C$2:$L$248,7,1)</f>
        <v>-4.1054190000000004</v>
      </c>
      <c r="I23" s="3" t="str">
        <f>VLOOKUP($A23,'Summary Data (40)'!$C$2:$L$248,4,0)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1.6462865530945437E-2</v>
      </c>
      <c r="N23" s="3">
        <f t="shared" si="1"/>
        <v>4.3841971114836396</v>
      </c>
      <c r="O23" s="3">
        <f t="shared" si="2"/>
        <v>4.3718971854333439</v>
      </c>
      <c r="P23" s="3">
        <f t="shared" si="3"/>
        <v>1.2299926050295618E-2</v>
      </c>
      <c r="Q23" s="5">
        <f t="shared" si="4"/>
        <v>2.8134069783885929E-3</v>
      </c>
      <c r="R23" s="3">
        <f t="shared" si="5"/>
        <v>177.02371934116897</v>
      </c>
      <c r="S23" s="3">
        <f t="shared" si="6"/>
        <v>176.88051430033252</v>
      </c>
      <c r="T23" s="3">
        <f t="shared" si="7"/>
        <v>0.14320504083644892</v>
      </c>
      <c r="U23" s="3">
        <f>VLOOKUP($A23,'Summary Data (40)'!$C$2:$N$248,11,0)</f>
        <v>0</v>
      </c>
      <c r="V23" s="3">
        <f>VLOOKUP($A23,'Summary Data (40)'!$C$2:$N$248,12,1)</f>
        <v>0</v>
      </c>
      <c r="W23" s="3">
        <f>VLOOKUP($A23,'Summary Data (40)'!$C$2:$N$248,11,1)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(40)'!$C$2:$L$248,3,0)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(40)'!$C$2:$L$248,5,1)</f>
        <v>-4.0589329999999997</v>
      </c>
      <c r="G24" s="3">
        <f>VLOOKUP($A24,'Summary Data (40)'!$C$2:$L$248,6,1)</f>
        <v>1.8608119999999999</v>
      </c>
      <c r="H24" s="3">
        <f>VLOOKUP($A24,'Summary Data (40)'!$C$2:$L$248,7,1)</f>
        <v>4.1257339999999996</v>
      </c>
      <c r="I24" s="3" t="str">
        <f>VLOOKUP($A24,'Summary Data (40)'!$C$2:$L$248,4,0)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2.4621195035984859E-2</v>
      </c>
      <c r="N24" s="3">
        <f t="shared" si="1"/>
        <v>8.8453329385187622</v>
      </c>
      <c r="O24" s="3">
        <f t="shared" si="2"/>
        <v>8.8659173242253964</v>
      </c>
      <c r="P24" s="3">
        <f t="shared" si="3"/>
        <v>-2.0584385706634123E-2</v>
      </c>
      <c r="Q24" s="5">
        <f t="shared" si="4"/>
        <v>-2.3217434760404282E-3</v>
      </c>
      <c r="R24" s="3">
        <f t="shared" si="5"/>
        <v>111.35858600069317</v>
      </c>
      <c r="S24" s="3">
        <f t="shared" si="6"/>
        <v>111.27118450019526</v>
      </c>
      <c r="T24" s="3">
        <f t="shared" si="7"/>
        <v>8.7401500497904294E-2</v>
      </c>
      <c r="U24" s="3">
        <f>VLOOKUP($A24,'Summary Data (40)'!$C$2:$N$248,11,0)</f>
        <v>0</v>
      </c>
      <c r="V24" s="3">
        <f>VLOOKUP($A24,'Summary Data (40)'!$C$2:$N$248,12,1)</f>
        <v>0</v>
      </c>
      <c r="W24" s="3">
        <f>VLOOKUP($A24,'Summary Data (40)'!$C$2:$N$248,11,1)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(40)'!$C$2:$L$248,3,0)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(40)'!$C$2:$L$248,5,1)</f>
        <v>-4.0997649999999997</v>
      </c>
      <c r="G25" s="3">
        <f>VLOOKUP($A25,'Summary Data (40)'!$C$2:$L$248,6,1)</f>
        <v>1.8602650000000001</v>
      </c>
      <c r="H25" s="3">
        <f>VLOOKUP($A25,'Summary Data (40)'!$C$2:$L$248,7,1)</f>
        <v>6.2180149999999997E-2</v>
      </c>
      <c r="I25" s="3" t="str">
        <f>VLOOKUP($A25,'Summary Data (40)'!$C$2:$L$248,4,0)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2.9642862193494636E-2</v>
      </c>
      <c r="N25" s="3">
        <f t="shared" si="1"/>
        <v>8.0514002166194079</v>
      </c>
      <c r="O25" s="3">
        <f t="shared" si="2"/>
        <v>8.0641771433916301</v>
      </c>
      <c r="P25" s="3">
        <f t="shared" si="3"/>
        <v>-1.2776926772222197E-2</v>
      </c>
      <c r="Q25" s="5">
        <f t="shared" si="4"/>
        <v>-1.5844055190048169E-3</v>
      </c>
      <c r="R25" s="3">
        <f t="shared" si="5"/>
        <v>174.57078263739461</v>
      </c>
      <c r="S25" s="3">
        <f t="shared" si="6"/>
        <v>174.76097652827366</v>
      </c>
      <c r="T25" s="3">
        <f t="shared" si="7"/>
        <v>0.19019389087904415</v>
      </c>
      <c r="U25" s="3">
        <f>VLOOKUP($A25,'Summary Data (40)'!$C$2:$N$248,11,0)</f>
        <v>0</v>
      </c>
      <c r="V25" s="3">
        <f>VLOOKUP($A25,'Summary Data (40)'!$C$2:$N$248,12,1)</f>
        <v>0</v>
      </c>
      <c r="W25" s="3">
        <f>VLOOKUP($A25,'Summary Data (40)'!$C$2:$N$248,11,1)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(40)'!$C$2:$L$248,3,0)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(40)'!$C$2:$L$248,5,1)</f>
        <v>1.967853E-2</v>
      </c>
      <c r="G26" s="3">
        <f>VLOOKUP($A26,'Summary Data (40)'!$C$2:$L$248,6,1)</f>
        <v>1.8608009999999999</v>
      </c>
      <c r="H26" s="3">
        <f>VLOOKUP($A26,'Summary Data (40)'!$C$2:$L$248,7,1)</f>
        <v>2.7213229999999999</v>
      </c>
      <c r="I26" s="3" t="str">
        <f>VLOOKUP($A26,'Summary Data (40)'!$C$2:$L$248,4,0)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4.5494957919423777E-3</v>
      </c>
      <c r="N26" s="3">
        <f t="shared" si="1"/>
        <v>4.3372583647520884</v>
      </c>
      <c r="O26" s="3">
        <f t="shared" si="2"/>
        <v>4.3329067610554466</v>
      </c>
      <c r="P26" s="3">
        <f t="shared" si="3"/>
        <v>4.3516036966417815E-3</v>
      </c>
      <c r="Q26" s="5">
        <f t="shared" si="4"/>
        <v>1.0043151022206119E-3</v>
      </c>
      <c r="R26" s="3">
        <f t="shared" si="5"/>
        <v>-19.074748100261683</v>
      </c>
      <c r="S26" s="3">
        <f t="shared" si="6"/>
        <v>-19.092289383724353</v>
      </c>
      <c r="T26" s="3">
        <f t="shared" si="7"/>
        <v>1.754128346266981E-2</v>
      </c>
      <c r="U26" s="3">
        <f>VLOOKUP($A26,'Summary Data (40)'!$C$2:$N$248,11,0)</f>
        <v>0</v>
      </c>
      <c r="V26" s="3">
        <f>VLOOKUP($A26,'Summary Data (40)'!$C$2:$N$248,12,1)</f>
        <v>0</v>
      </c>
      <c r="W26" s="3">
        <f>VLOOKUP($A26,'Summary Data (40)'!$C$2:$N$248,11,1)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(40)'!$C$2:$L$248,3,0)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(40)'!$C$2:$L$248,5,1)</f>
        <v>-8.6984580000000005</v>
      </c>
      <c r="G27" s="3">
        <f>VLOOKUP($A27,'Summary Data (40)'!$C$2:$L$248,6,1)</f>
        <v>1.8426689999999999</v>
      </c>
      <c r="H27" s="3">
        <f>VLOOKUP($A27,'Summary Data (40)'!$C$2:$L$248,7,1)</f>
        <v>-1.68689</v>
      </c>
      <c r="I27" s="3" t="str">
        <f>VLOOKUP($A27,'Summary Data (40)'!$C$2:$L$248,4,0)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7.435861704326137</v>
      </c>
      <c r="N27" s="3">
        <f t="shared" si="1"/>
        <v>8.2160652133405083</v>
      </c>
      <c r="O27" s="3">
        <f t="shared" si="2"/>
        <v>8.8659173242253964</v>
      </c>
      <c r="P27" s="3">
        <f t="shared" si="3"/>
        <v>-0.64985211088488803</v>
      </c>
      <c r="Q27" s="5">
        <f t="shared" si="4"/>
        <v>-7.3297786018060432E-2</v>
      </c>
      <c r="R27" s="3">
        <f t="shared" si="5"/>
        <v>111.35858600069317</v>
      </c>
      <c r="S27" s="3">
        <f t="shared" si="6"/>
        <v>162.79596025041388</v>
      </c>
      <c r="T27" s="3">
        <f t="shared" si="7"/>
        <v>51.437374249720719</v>
      </c>
      <c r="U27" s="3">
        <f>VLOOKUP($A27,'Summary Data (40)'!$C$2:$N$248,11,0)</f>
        <v>0</v>
      </c>
      <c r="V27" s="3">
        <f>VLOOKUP($A27,'Summary Data (40)'!$C$2:$N$248,12,1)</f>
        <v>0</v>
      </c>
      <c r="W27" s="3">
        <f>VLOOKUP($A27,'Summary Data (40)'!$C$2:$N$248,11,1)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(40)'!$C$2:$L$248,3,0)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(40)'!$C$2:$L$248,5,1)</f>
        <v>-5.875756</v>
      </c>
      <c r="G28" s="3">
        <f>VLOOKUP($A28,'Summary Data (40)'!$C$2:$L$248,6,1)</f>
        <v>1.8301879999999999</v>
      </c>
      <c r="H28" s="3">
        <f>VLOOKUP($A28,'Summary Data (40)'!$C$2:$L$248,7,1)</f>
        <v>3.5760049999999999</v>
      </c>
      <c r="I28" s="3" t="str">
        <f>VLOOKUP($A28,'Summary Data (40)'!$C$2:$L$248,4,0)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10.675752904482241</v>
      </c>
      <c r="N28" s="3">
        <f t="shared" si="1"/>
        <v>9.4145412069606973</v>
      </c>
      <c r="O28" s="3">
        <f t="shared" si="2"/>
        <v>2.5489458605470614</v>
      </c>
      <c r="P28" s="3">
        <f t="shared" si="3"/>
        <v>6.8655953464136363</v>
      </c>
      <c r="Q28" s="5">
        <f t="shared" si="4"/>
        <v>2.6935037941292816</v>
      </c>
      <c r="R28" s="3">
        <f t="shared" si="5"/>
        <v>-77.654050540796021</v>
      </c>
      <c r="S28" s="3">
        <f t="shared" si="6"/>
        <v>169.23162146199996</v>
      </c>
      <c r="T28" s="3">
        <f t="shared" si="7"/>
        <v>113.11432799720401</v>
      </c>
      <c r="U28" s="3">
        <f>VLOOKUP($A28,'Summary Data (40)'!$C$2:$N$248,11,0)</f>
        <v>0</v>
      </c>
      <c r="V28" s="3">
        <f>VLOOKUP($A28,'Summary Data (40)'!$C$2:$N$248,12,1)</f>
        <v>0</v>
      </c>
      <c r="W28" s="3">
        <f>VLOOKUP($A28,'Summary Data (40)'!$C$2:$N$248,11,1)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(40)'!$C$2:$L$248,3,0)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(40)'!$C$2:$L$248,5,1)</f>
        <v>0.47113699999999997</v>
      </c>
      <c r="G29" s="3">
        <f>VLOOKUP($A29,'Summary Data (40)'!$C$2:$L$248,6,1)</f>
        <v>1.840706</v>
      </c>
      <c r="H29" s="3">
        <f>VLOOKUP($A29,'Summary Data (40)'!$C$2:$L$248,7,1)</f>
        <v>-4.9441369999999996</v>
      </c>
      <c r="I29" s="3" t="str">
        <f>VLOOKUP($A29,'Summary Data (40)'!$C$2:$L$248,4,0)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7.6816322965589805</v>
      </c>
      <c r="N29" s="3">
        <f t="shared" si="1"/>
        <v>10.159984830379324</v>
      </c>
      <c r="O29" s="3">
        <f t="shared" si="2"/>
        <v>4.3329067610554466</v>
      </c>
      <c r="P29" s="3">
        <f t="shared" si="3"/>
        <v>5.8270780693238775</v>
      </c>
      <c r="Q29" s="5">
        <f t="shared" si="4"/>
        <v>1.3448427096789104</v>
      </c>
      <c r="R29" s="3">
        <f t="shared" si="5"/>
        <v>-19.074748100261683</v>
      </c>
      <c r="S29" s="3">
        <f t="shared" si="6"/>
        <v>-63.39425135343312</v>
      </c>
      <c r="T29" s="3">
        <f t="shared" si="7"/>
        <v>44.319503253171433</v>
      </c>
      <c r="U29" s="3">
        <f>VLOOKUP($A29,'Summary Data (40)'!$C$2:$N$248,11,0)</f>
        <v>0</v>
      </c>
      <c r="V29" s="3">
        <f>VLOOKUP($A29,'Summary Data (40)'!$C$2:$N$248,12,1)</f>
        <v>0</v>
      </c>
      <c r="W29" s="3">
        <f>VLOOKUP($A29,'Summary Data (40)'!$C$2:$N$248,11,1)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(40)'!$C$2:$L$248,3,0)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(40)'!$C$2:$L$248,5,1)</f>
        <v>-0.85656969999999999</v>
      </c>
      <c r="G30" s="3">
        <f>VLOOKUP($A30,'Summary Data (40)'!$C$2:$L$248,6,1)</f>
        <v>1.828651</v>
      </c>
      <c r="H30" s="3">
        <f>VLOOKUP($A30,'Summary Data (40)'!$C$2:$L$248,7,1)</f>
        <v>5.5686980000000004</v>
      </c>
      <c r="I30" s="3" t="str">
        <f>VLOOKUP($A30,'Summary Data (40)'!$C$2:$L$248,4,0)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9.6857002280765485</v>
      </c>
      <c r="N30" s="3">
        <f t="shared" si="1"/>
        <v>10.83424881662601</v>
      </c>
      <c r="O30" s="3">
        <f t="shared" si="2"/>
        <v>4.3718971854333439</v>
      </c>
      <c r="P30" s="3">
        <f t="shared" si="3"/>
        <v>6.4623516311926661</v>
      </c>
      <c r="Q30" s="5">
        <f t="shared" si="4"/>
        <v>1.4781572752269827</v>
      </c>
      <c r="R30" s="3">
        <f t="shared" si="5"/>
        <v>177.02371934116897</v>
      </c>
      <c r="S30" s="3">
        <f t="shared" si="6"/>
        <v>113.80265619281013</v>
      </c>
      <c r="T30" s="3">
        <f t="shared" si="7"/>
        <v>63.221063148358837</v>
      </c>
      <c r="U30" s="3">
        <f>VLOOKUP($A30,'Summary Data (40)'!$C$2:$N$248,11,0)</f>
        <v>0</v>
      </c>
      <c r="V30" s="3">
        <f>VLOOKUP($A30,'Summary Data (40)'!$C$2:$N$248,12,1)</f>
        <v>0</v>
      </c>
      <c r="W30" s="3">
        <f>VLOOKUP($A30,'Summary Data (40)'!$C$2:$N$248,11,1)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(40)'!$C$2:$L$248,3,0)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(40)'!$C$2:$L$248,5,1)</f>
        <v>2.1397499999999998</v>
      </c>
      <c r="G31" s="3">
        <f>VLOOKUP($A31,'Summary Data (40)'!$C$2:$L$248,6,1)</f>
        <v>1.8303290000000001</v>
      </c>
      <c r="H31" s="3">
        <f>VLOOKUP($A31,'Summary Data (40)'!$C$2:$L$248,7,1)</f>
        <v>7.9858900000000004</v>
      </c>
      <c r="I31" s="3" t="str">
        <f>VLOOKUP($A31,'Summary Data (40)'!$C$2:$L$248,4,0)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11.210315710746062</v>
      </c>
      <c r="N31" s="3">
        <f t="shared" si="1"/>
        <v>10.069977852736322</v>
      </c>
      <c r="O31" s="3">
        <f t="shared" si="2"/>
        <v>1.5015515309172709</v>
      </c>
      <c r="P31" s="3">
        <f t="shared" si="3"/>
        <v>8.5684263218190519</v>
      </c>
      <c r="Q31" s="5">
        <f t="shared" si="4"/>
        <v>5.7063817960245125</v>
      </c>
      <c r="R31" s="3">
        <f t="shared" si="5"/>
        <v>-85.071579131103505</v>
      </c>
      <c r="S31" s="3">
        <f t="shared" si="6"/>
        <v>51.637702426293437</v>
      </c>
      <c r="T31" s="3">
        <f t="shared" si="7"/>
        <v>136.70928155739693</v>
      </c>
      <c r="U31" s="3">
        <f>VLOOKUP($A31,'Summary Data (40)'!$C$2:$N$248,11,0)</f>
        <v>0</v>
      </c>
      <c r="V31" s="3">
        <f>VLOOKUP($A31,'Summary Data (40)'!$C$2:$N$248,12,1)</f>
        <v>0</v>
      </c>
      <c r="W31" s="3">
        <f>VLOOKUP($A31,'Summary Data (40)'!$C$2:$N$248,11,1)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(40)'!$C$2:$L$248,3,0)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(40)'!$C$2:$L$248,5,1)</f>
        <v>-2.0223559999999998</v>
      </c>
      <c r="G32" s="3">
        <f>VLOOKUP($A32,'Summary Data (40)'!$C$2:$L$248,6,1)</f>
        <v>1.822171</v>
      </c>
      <c r="H32" s="3">
        <f>VLOOKUP($A32,'Summary Data (40)'!$C$2:$L$248,7,1)</f>
        <v>6.0131379999999996</v>
      </c>
      <c r="I32" s="3" t="str">
        <f>VLOOKUP($A32,'Summary Data (40)'!$C$2:$L$248,4,0)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6.2802723856358327</v>
      </c>
      <c r="N32" s="3">
        <f t="shared" si="1"/>
        <v>8.9438398220104549</v>
      </c>
      <c r="O32" s="3">
        <f t="shared" si="2"/>
        <v>8.0641771433916301</v>
      </c>
      <c r="P32" s="3">
        <f t="shared" si="3"/>
        <v>0.87966267861882486</v>
      </c>
      <c r="Q32" s="5">
        <f t="shared" si="4"/>
        <v>0.10908275735729393</v>
      </c>
      <c r="R32" s="3">
        <f t="shared" si="5"/>
        <v>174.57078263739461</v>
      </c>
      <c r="S32" s="3">
        <f t="shared" si="6"/>
        <v>131.61976044169117</v>
      </c>
      <c r="T32" s="3">
        <f t="shared" si="7"/>
        <v>42.951022195703445</v>
      </c>
      <c r="U32" s="3">
        <f>VLOOKUP($A32,'Summary Data (40)'!$C$2:$N$248,11,0)</f>
        <v>0</v>
      </c>
      <c r="V32" s="3">
        <f>VLOOKUP($A32,'Summary Data (40)'!$C$2:$N$248,12,1)</f>
        <v>0</v>
      </c>
      <c r="W32" s="3">
        <f>VLOOKUP($A32,'Summary Data (40)'!$C$2:$N$248,11,1)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(40)'!$C$2:$L$248,3,0)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(40)'!$C$2:$L$248,5,1)</f>
        <v>-5.442761</v>
      </c>
      <c r="G33" s="3">
        <f>VLOOKUP($A33,'Summary Data (40)'!$C$2:$L$248,6,1)</f>
        <v>1.8105450000000001</v>
      </c>
      <c r="H33" s="3">
        <f>VLOOKUP($A33,'Summary Data (40)'!$C$2:$L$248,7,1)</f>
        <v>-1.265863</v>
      </c>
      <c r="I33" s="3" t="str">
        <f>VLOOKUP($A33,'Summary Data (40)'!$C$2:$L$248,4,0)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9.4728203849693031</v>
      </c>
      <c r="N33" s="3">
        <f t="shared" si="1"/>
        <v>6.7614405575949572</v>
      </c>
      <c r="O33" s="3">
        <f t="shared" si="2"/>
        <v>7.8871175977032326</v>
      </c>
      <c r="P33" s="3">
        <f t="shared" si="3"/>
        <v>-1.1256770401082754</v>
      </c>
      <c r="Q33" s="5">
        <f t="shared" si="4"/>
        <v>-0.14272350147740642</v>
      </c>
      <c r="R33" s="3">
        <f t="shared" si="5"/>
        <v>-63.65586590726528</v>
      </c>
      <c r="S33" s="3">
        <f t="shared" si="6"/>
        <v>-143.83655719957633</v>
      </c>
      <c r="T33" s="3">
        <f t="shared" si="7"/>
        <v>80.180691292311053</v>
      </c>
      <c r="U33" s="3">
        <f>VLOOKUP($A33,'Summary Data (40)'!$C$2:$N$248,11,0)</f>
        <v>0</v>
      </c>
      <c r="V33" s="3">
        <f>VLOOKUP($A33,'Summary Data (40)'!$C$2:$N$248,12,1)</f>
        <v>0</v>
      </c>
      <c r="W33" s="3">
        <f>VLOOKUP($A33,'Summary Data (40)'!$C$2:$N$248,11,1)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(40)'!$C$2:$L$248,3,0)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(40)'!$C$2:$L$248,5,1)</f>
        <v>3.4436429999999998</v>
      </c>
      <c r="G34" s="3">
        <f>VLOOKUP($A34,'Summary Data (40)'!$C$2:$L$248,6,1)</f>
        <v>1.838684</v>
      </c>
      <c r="H34" s="3">
        <f>VLOOKUP($A34,'Summary Data (40)'!$C$2:$L$248,7,1)</f>
        <v>-2.147621</v>
      </c>
      <c r="I34" s="3" t="str">
        <f>VLOOKUP($A34,'Summary Data (40)'!$C$2:$L$248,4,0)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3.9652503208612191</v>
      </c>
      <c r="N34" s="3">
        <f t="shared" si="1"/>
        <v>7.4615900038188911</v>
      </c>
      <c r="O34" s="3">
        <f t="shared" si="2"/>
        <v>8.0292617967033557</v>
      </c>
      <c r="P34" s="3">
        <f t="shared" si="3"/>
        <v>-0.56767179288446457</v>
      </c>
      <c r="Q34" s="5">
        <f t="shared" si="4"/>
        <v>-7.0700371622897953E-2</v>
      </c>
      <c r="R34" s="3">
        <f t="shared" si="5"/>
        <v>23.666151625811782</v>
      </c>
      <c r="S34" s="3">
        <f t="shared" si="6"/>
        <v>-5.7041497735216016</v>
      </c>
      <c r="T34" s="3">
        <f t="shared" si="7"/>
        <v>29.370301399333385</v>
      </c>
      <c r="U34" s="3">
        <f>VLOOKUP($A34,'Summary Data (40)'!$C$2:$N$248,11,0)</f>
        <v>0</v>
      </c>
      <c r="V34" s="3">
        <f>VLOOKUP($A34,'Summary Data (40)'!$C$2:$N$248,12,1)</f>
        <v>0</v>
      </c>
      <c r="W34" s="3">
        <f>VLOOKUP($A34,'Summary Data (40)'!$C$2:$N$248,11,1)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(40)'!$C$2:$L$248,3,0)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(40)'!$C$2:$L$248,5,1)</f>
        <v>-3.8776320000000002</v>
      </c>
      <c r="G35" s="3">
        <f>VLOOKUP($A35,'Summary Data (40)'!$C$2:$L$248,6,1)</f>
        <v>1.827366</v>
      </c>
      <c r="H35" s="3">
        <f>VLOOKUP($A35,'Summary Data (40)'!$C$2:$L$248,7,1)</f>
        <v>-6.7427640000000002</v>
      </c>
      <c r="I35" s="3" t="str">
        <f>VLOOKUP($A35,'Summary Data (40)'!$C$2:$L$248,4,0)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6.8367140328611082</v>
      </c>
      <c r="N35" s="3">
        <f t="shared" si="1"/>
        <v>9.8799753691555328</v>
      </c>
      <c r="O35" s="3">
        <f t="shared" si="2"/>
        <v>8.0641771433916301</v>
      </c>
      <c r="P35" s="3">
        <f t="shared" si="3"/>
        <v>1.8157982257639027</v>
      </c>
      <c r="Q35" s="5">
        <f t="shared" si="4"/>
        <v>0.22516844477454206</v>
      </c>
      <c r="R35" s="3">
        <f t="shared" si="5"/>
        <v>174.57078263739461</v>
      </c>
      <c r="S35" s="3">
        <f t="shared" si="6"/>
        <v>-142.09528637763484</v>
      </c>
      <c r="T35" s="3">
        <f t="shared" si="7"/>
        <v>43.33393098497055</v>
      </c>
      <c r="U35" s="3">
        <f>VLOOKUP($A35,'Summary Data (40)'!$C$2:$N$248,11,0)</f>
        <v>0</v>
      </c>
      <c r="V35" s="3">
        <f>VLOOKUP($A35,'Summary Data (40)'!$C$2:$N$248,12,1)</f>
        <v>0</v>
      </c>
      <c r="W35" s="3">
        <f>VLOOKUP($A35,'Summary Data (40)'!$C$2:$N$248,11,1)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(40)'!$C$2:$L$248,3,0)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(40)'!$C$2:$L$248,5,1)</f>
        <v>-5.3539859999999999</v>
      </c>
      <c r="G36" s="3">
        <f>VLOOKUP($A36,'Summary Data (40)'!$C$2:$L$248,6,1)</f>
        <v>1.832784</v>
      </c>
      <c r="H36" s="3">
        <f>VLOOKUP($A36,'Summary Data (40)'!$C$2:$L$248,7,1)</f>
        <v>9.3107480000000002</v>
      </c>
      <c r="I36" s="3" t="str">
        <f>VLOOKUP($A36,'Summary Data (40)'!$C$2:$L$248,4,0)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13.625158660056037</v>
      </c>
      <c r="N36" s="3">
        <f t="shared" si="1"/>
        <v>11.502892841876777</v>
      </c>
      <c r="O36" s="3">
        <f t="shared" si="2"/>
        <v>2.5489458605470614</v>
      </c>
      <c r="P36" s="3">
        <f t="shared" si="3"/>
        <v>8.9539469813297163</v>
      </c>
      <c r="Q36" s="5">
        <f t="shared" si="4"/>
        <v>3.5128039084392308</v>
      </c>
      <c r="R36" s="3">
        <f t="shared" si="5"/>
        <v>-77.654050540796021</v>
      </c>
      <c r="S36" s="3">
        <f t="shared" si="6"/>
        <v>139.34774764007273</v>
      </c>
      <c r="T36" s="3">
        <f t="shared" si="7"/>
        <v>142.99820181913125</v>
      </c>
      <c r="U36" s="3">
        <f>VLOOKUP($A36,'Summary Data (40)'!$C$2:$N$248,11,0)</f>
        <v>0</v>
      </c>
      <c r="V36" s="3">
        <f>VLOOKUP($A36,'Summary Data (40)'!$C$2:$N$248,12,1)</f>
        <v>0</v>
      </c>
      <c r="W36" s="3">
        <f>VLOOKUP($A36,'Summary Data (40)'!$C$2:$N$248,11,1)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(40)'!$C$2:$L$248,3,0)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(40)'!$C$2:$L$248,5,1)</f>
        <v>-4.4414550000000004</v>
      </c>
      <c r="G37" s="3">
        <f>VLOOKUP($A37,'Summary Data (40)'!$C$2:$L$248,6,1)</f>
        <v>1.8274170000000001</v>
      </c>
      <c r="H37" s="3">
        <f>VLOOKUP($A37,'Summary Data (40)'!$C$2:$L$248,7,1)</f>
        <v>-6.6972069999999997</v>
      </c>
      <c r="I37" s="3" t="str">
        <f>VLOOKUP($A37,'Summary Data (40)'!$C$2:$L$248,4,0)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10.422477940196083</v>
      </c>
      <c r="N37" s="3">
        <f t="shared" si="1"/>
        <v>10.843266536790193</v>
      </c>
      <c r="O37" s="3">
        <f t="shared" si="2"/>
        <v>4.3329067610554466</v>
      </c>
      <c r="P37" s="3">
        <f t="shared" si="3"/>
        <v>6.510359775734746</v>
      </c>
      <c r="Q37" s="5">
        <f t="shared" si="4"/>
        <v>1.5025386270137271</v>
      </c>
      <c r="R37" s="3">
        <f t="shared" si="5"/>
        <v>-19.074748100261683</v>
      </c>
      <c r="S37" s="3">
        <f t="shared" si="6"/>
        <v>-91.91556769245453</v>
      </c>
      <c r="T37" s="3">
        <f t="shared" si="7"/>
        <v>72.840819592192844</v>
      </c>
      <c r="U37" s="3">
        <f>VLOOKUP($A37,'Summary Data (40)'!$C$2:$N$248,11,0)</f>
        <v>0</v>
      </c>
      <c r="V37" s="3">
        <f>VLOOKUP($A37,'Summary Data (40)'!$C$2:$N$248,12,1)</f>
        <v>0</v>
      </c>
      <c r="W37" s="3">
        <f>VLOOKUP($A37,'Summary Data (40)'!$C$2:$N$248,11,1)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(40)'!$C$2:$L$248,3,0)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(40)'!$C$2:$L$248,5,1)</f>
        <v>2.3576329999999999</v>
      </c>
      <c r="G38" s="3">
        <f>VLOOKUP($A38,'Summary Data (40)'!$C$2:$L$248,6,1)</f>
        <v>1.820222</v>
      </c>
      <c r="H38" s="3">
        <f>VLOOKUP($A38,'Summary Data (40)'!$C$2:$L$248,7,1)</f>
        <v>-2.0376810000000001</v>
      </c>
      <c r="I38" s="3" t="str">
        <f>VLOOKUP($A38,'Summary Data (40)'!$C$2:$L$248,4,0)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3.9861680542157276</v>
      </c>
      <c r="N38" s="3">
        <f t="shared" si="1"/>
        <v>6.3700305489416609</v>
      </c>
      <c r="O38" s="3">
        <f t="shared" si="2"/>
        <v>8.0292617967033557</v>
      </c>
      <c r="P38" s="3">
        <f t="shared" si="3"/>
        <v>-1.6592312477616948</v>
      </c>
      <c r="Q38" s="5">
        <f t="shared" si="4"/>
        <v>-0.2066480443373935</v>
      </c>
      <c r="R38" s="3">
        <f t="shared" si="5"/>
        <v>23.666151625811782</v>
      </c>
      <c r="S38" s="3">
        <f t="shared" si="6"/>
        <v>-5.691061669271412</v>
      </c>
      <c r="T38" s="3">
        <f t="shared" si="7"/>
        <v>29.357213295083195</v>
      </c>
      <c r="U38" s="3">
        <f>VLOOKUP($A38,'Summary Data (40)'!$C$2:$N$248,11,0)</f>
        <v>0</v>
      </c>
      <c r="V38" s="3">
        <f>VLOOKUP($A38,'Summary Data (40)'!$C$2:$N$248,12,1)</f>
        <v>0</v>
      </c>
      <c r="W38" s="3">
        <f>VLOOKUP($A38,'Summary Data (40)'!$C$2:$N$248,11,1)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(40)'!$C$2:$L$248,3,0)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(40)'!$C$2:$L$248,5,1)</f>
        <v>-4.3259420000000004</v>
      </c>
      <c r="G39" s="3">
        <f>VLOOKUP($A39,'Summary Data (40)'!$C$2:$L$248,6,1)</f>
        <v>1.8252699999999999</v>
      </c>
      <c r="H39" s="3">
        <f>VLOOKUP($A39,'Summary Data (40)'!$C$2:$L$248,7,1)</f>
        <v>-4.9861120000000003</v>
      </c>
      <c r="I39" s="3" t="str">
        <f>VLOOKUP($A39,'Summary Data (40)'!$C$2:$L$248,4,0)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5.0807030993660716</v>
      </c>
      <c r="N39" s="3">
        <f t="shared" si="1"/>
        <v>9.3040590509684549</v>
      </c>
      <c r="O39" s="3">
        <f t="shared" si="2"/>
        <v>8.0641771433916301</v>
      </c>
      <c r="P39" s="3">
        <f t="shared" si="3"/>
        <v>1.2398819075768248</v>
      </c>
      <c r="Q39" s="5">
        <f t="shared" si="4"/>
        <v>0.15375181937724094</v>
      </c>
      <c r="R39" s="3">
        <f t="shared" si="5"/>
        <v>174.57078263739461</v>
      </c>
      <c r="S39" s="3">
        <f t="shared" si="6"/>
        <v>-152.38208194427992</v>
      </c>
      <c r="T39" s="3">
        <f t="shared" si="7"/>
        <v>33.047135418325468</v>
      </c>
      <c r="U39" s="3">
        <f>VLOOKUP($A39,'Summary Data (40)'!$C$2:$N$248,11,0)</f>
        <v>0</v>
      </c>
      <c r="V39" s="3">
        <f>VLOOKUP($A39,'Summary Data (40)'!$C$2:$N$248,12,1)</f>
        <v>0</v>
      </c>
      <c r="W39" s="3">
        <f>VLOOKUP($A39,'Summary Data (40)'!$C$2:$N$248,11,1)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(40)'!$C$2:$L$248,3,0)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(40)'!$C$2:$L$248,5,1)</f>
        <v>-5.2608319999999997</v>
      </c>
      <c r="G40" s="3">
        <f>VLOOKUP($A40,'Summary Data (40)'!$C$2:$L$248,6,1)</f>
        <v>1.827906</v>
      </c>
      <c r="H40" s="3">
        <f>VLOOKUP($A40,'Summary Data (40)'!$C$2:$L$248,7,1)</f>
        <v>3.4801090000000001</v>
      </c>
      <c r="I40" s="3" t="str">
        <f>VLOOKUP($A40,'Summary Data (40)'!$C$2:$L$248,4,0)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11.757953121190141</v>
      </c>
      <c r="N40" s="3">
        <f t="shared" si="1"/>
        <v>5.3307276028798354</v>
      </c>
      <c r="O40" s="3">
        <f t="shared" si="2"/>
        <v>7.8871175977032326</v>
      </c>
      <c r="P40" s="3">
        <f t="shared" si="3"/>
        <v>-2.5563899948233972</v>
      </c>
      <c r="Q40" s="5">
        <f t="shared" si="4"/>
        <v>-0.32412221108099498</v>
      </c>
      <c r="R40" s="3">
        <f t="shared" si="5"/>
        <v>-63.65586590726528</v>
      </c>
      <c r="S40" s="3">
        <f t="shared" si="6"/>
        <v>171.84568210407303</v>
      </c>
      <c r="T40" s="3">
        <f t="shared" si="7"/>
        <v>124.49845198866169</v>
      </c>
      <c r="U40" s="3">
        <f>VLOOKUP($A40,'Summary Data (40)'!$C$2:$N$248,11,0)</f>
        <v>0</v>
      </c>
      <c r="V40" s="3">
        <f>VLOOKUP($A40,'Summary Data (40)'!$C$2:$N$248,12,1)</f>
        <v>0</v>
      </c>
      <c r="W40" s="3">
        <f>VLOOKUP($A40,'Summary Data (40)'!$C$2:$N$248,11,1)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(40)'!$C$2:$L$248,3,0)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(40)'!$C$2:$L$248,5,1)</f>
        <v>2.4057520000000001</v>
      </c>
      <c r="G41" s="3">
        <f>VLOOKUP($A41,'Summary Data (40)'!$C$2:$L$248,6,1)</f>
        <v>1.8412919999999999</v>
      </c>
      <c r="H41" s="3">
        <f>VLOOKUP($A41,'Summary Data (40)'!$C$2:$L$248,7,1)</f>
        <v>-8.6792090000000002</v>
      </c>
      <c r="I41" s="3" t="str">
        <f>VLOOKUP($A41,'Summary Data (40)'!$C$2:$L$248,4,0)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14.366075591029897</v>
      </c>
      <c r="N41" s="3">
        <f t="shared" si="1"/>
        <v>5.6047900982271406</v>
      </c>
      <c r="O41" s="3">
        <f t="shared" si="2"/>
        <v>8.8659173242253964</v>
      </c>
      <c r="P41" s="3">
        <f t="shared" si="3"/>
        <v>-3.2611272259982558</v>
      </c>
      <c r="Q41" s="5">
        <f t="shared" si="4"/>
        <v>-0.36782738962470263</v>
      </c>
      <c r="R41" s="3">
        <f t="shared" si="5"/>
        <v>111.35858600069317</v>
      </c>
      <c r="S41" s="3">
        <f t="shared" si="6"/>
        <v>-54.487017483532398</v>
      </c>
      <c r="T41" s="3">
        <f t="shared" si="7"/>
        <v>165.84560348422556</v>
      </c>
      <c r="U41" s="3">
        <f>VLOOKUP($A41,'Summary Data (40)'!$C$2:$N$248,11,0)</f>
        <v>0</v>
      </c>
      <c r="V41" s="3">
        <f>VLOOKUP($A41,'Summary Data (40)'!$C$2:$N$248,12,1)</f>
        <v>0</v>
      </c>
      <c r="W41" s="3">
        <f>VLOOKUP($A41,'Summary Data (40)'!$C$2:$N$248,11,1)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0.38888056117736947</v>
      </c>
      <c r="T42" s="3">
        <f>AVERAGE(T2:T41)</f>
        <v>29.420742851076106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2017-09-13T11:25:33Z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