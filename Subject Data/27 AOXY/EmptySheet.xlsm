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27 AOXY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C13" i="3" l="1"/>
  <c r="S13" i="3" s="1"/>
  <c r="J18" i="3"/>
  <c r="D4" i="3"/>
  <c r="C12" i="3"/>
  <c r="D13" i="3"/>
  <c r="C39" i="3"/>
  <c r="D36" i="3"/>
  <c r="L40" i="3"/>
  <c r="D3" i="3"/>
  <c r="L7" i="3"/>
  <c r="L9" i="3"/>
  <c r="E12" i="3"/>
  <c r="N12" i="3" s="1"/>
  <c r="C22" i="3"/>
  <c r="C28" i="3"/>
  <c r="J29" i="3"/>
  <c r="J5" i="3"/>
  <c r="M5" i="3" s="1"/>
  <c r="E22" i="3"/>
  <c r="L25" i="3"/>
  <c r="E28" i="3"/>
  <c r="K29" i="3"/>
  <c r="D35" i="3"/>
  <c r="C36" i="3"/>
  <c r="L3" i="3"/>
  <c r="K17" i="3"/>
  <c r="C40" i="3"/>
  <c r="N40" i="3" s="1"/>
  <c r="J4" i="3"/>
  <c r="C9" i="3"/>
  <c r="N9" i="3" s="1"/>
  <c r="L4" i="3"/>
  <c r="M4" i="3" s="1"/>
  <c r="D8" i="3"/>
  <c r="D9" i="3"/>
  <c r="J13" i="3"/>
  <c r="O13" i="3" s="1"/>
  <c r="P13" i="3" s="1"/>
  <c r="Q13" i="3" s="1"/>
  <c r="J14" i="3"/>
  <c r="E15" i="3"/>
  <c r="L16" i="3"/>
  <c r="L20" i="3"/>
  <c r="J25" i="3"/>
  <c r="C32" i="3"/>
  <c r="E33" i="3"/>
  <c r="J36" i="3"/>
  <c r="M36" i="3" s="1"/>
  <c r="J40" i="3"/>
  <c r="D16" i="3"/>
  <c r="K21" i="3"/>
  <c r="J27" i="3"/>
  <c r="J7" i="3"/>
  <c r="M7" i="3" s="1"/>
  <c r="J9" i="3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O17" i="3" s="1"/>
  <c r="L17" i="3"/>
  <c r="M17" i="3" s="1"/>
  <c r="C20" i="3"/>
  <c r="S20" i="3" s="1"/>
  <c r="L21" i="3"/>
  <c r="J23" i="3"/>
  <c r="C24" i="3"/>
  <c r="S24" i="3" s="1"/>
  <c r="C26" i="3"/>
  <c r="D27" i="3"/>
  <c r="N28" i="3"/>
  <c r="K28" i="3"/>
  <c r="C30" i="3"/>
  <c r="N30" i="3" s="1"/>
  <c r="D31" i="3"/>
  <c r="S32" i="3"/>
  <c r="K32" i="3"/>
  <c r="J33" i="3"/>
  <c r="S36" i="3"/>
  <c r="D40" i="3"/>
  <c r="J41" i="3"/>
  <c r="M41" i="3" s="1"/>
  <c r="S4" i="3"/>
  <c r="S9" i="3"/>
  <c r="N3" i="3"/>
  <c r="K6" i="3"/>
  <c r="S12" i="3"/>
  <c r="N13" i="3"/>
  <c r="N16" i="3"/>
  <c r="D17" i="3"/>
  <c r="D20" i="3"/>
  <c r="L23" i="3"/>
  <c r="D24" i="3"/>
  <c r="E26" i="3"/>
  <c r="S28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O9" i="3"/>
  <c r="C10" i="3"/>
  <c r="E10" i="3"/>
  <c r="D10" i="3"/>
  <c r="W13" i="3"/>
  <c r="S16" i="3"/>
  <c r="V18" i="3"/>
  <c r="Y18" i="3" s="1"/>
  <c r="S22" i="3"/>
  <c r="L2" i="3"/>
  <c r="M2" i="3" s="1"/>
  <c r="E5" i="3"/>
  <c r="O5" i="3" s="1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S18" i="3" s="1"/>
  <c r="E18" i="3"/>
  <c r="D18" i="3"/>
  <c r="M21" i="3"/>
  <c r="W22" i="3"/>
  <c r="M25" i="3"/>
  <c r="V7" i="3"/>
  <c r="L8" i="3"/>
  <c r="W9" i="3"/>
  <c r="V14" i="3"/>
  <c r="Y14" i="3" s="1"/>
  <c r="M18" i="3"/>
  <c r="J19" i="3"/>
  <c r="L19" i="3"/>
  <c r="K19" i="3"/>
  <c r="L22" i="3"/>
  <c r="J22" i="3"/>
  <c r="K22" i="3"/>
  <c r="M9" i="3"/>
  <c r="C11" i="3"/>
  <c r="J12" i="3"/>
  <c r="M13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M33" i="3"/>
  <c r="S34" i="3"/>
  <c r="J34" i="3"/>
  <c r="K35" i="3"/>
  <c r="J35" i="3"/>
  <c r="N36" i="3"/>
  <c r="R36" i="3"/>
  <c r="T36" i="3" s="1"/>
  <c r="J38" i="3"/>
  <c r="K39" i="3"/>
  <c r="J39" i="3"/>
  <c r="M40" i="3"/>
  <c r="N20" i="3" l="1"/>
  <c r="M23" i="3"/>
  <c r="N32" i="3"/>
  <c r="R4" i="3"/>
  <c r="T4" i="3" s="1"/>
  <c r="S25" i="3"/>
  <c r="O10" i="3"/>
  <c r="M27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N15" i="3"/>
  <c r="N8" i="3"/>
  <c r="P9" i="3"/>
  <c r="Q9" i="3" s="1"/>
  <c r="O7" i="3"/>
  <c r="N14" i="3"/>
  <c r="S38" i="3"/>
  <c r="O18" i="3"/>
  <c r="R9" i="3"/>
  <c r="T9" i="3" s="1"/>
  <c r="S6" i="3"/>
  <c r="O41" i="3"/>
  <c r="S31" i="3"/>
  <c r="S10" i="3"/>
  <c r="M31" i="3"/>
  <c r="S17" i="3"/>
  <c r="S30" i="3"/>
  <c r="S26" i="3"/>
  <c r="R17" i="3"/>
  <c r="P7" i="3"/>
  <c r="Q7" i="3" s="1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R19" i="3"/>
  <c r="O19" i="3"/>
  <c r="P19" i="3" s="1"/>
  <c r="Q19" i="3" s="1"/>
  <c r="M19" i="3"/>
  <c r="O25" i="3"/>
  <c r="Z22" i="3"/>
  <c r="X22" i="3"/>
  <c r="R11" i="3"/>
  <c r="T11" i="3" s="1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T5" i="3" s="1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P22" i="3"/>
  <c r="Q22" i="3" s="1"/>
  <c r="R41" i="3"/>
  <c r="O29" i="3"/>
  <c r="R26" i="3"/>
  <c r="O26" i="3"/>
  <c r="M26" i="3"/>
  <c r="N25" i="3"/>
  <c r="P25" i="3" s="1"/>
  <c r="Q25" i="3" s="1"/>
  <c r="R21" i="3"/>
  <c r="T21" i="3" s="1"/>
  <c r="O8" i="3"/>
  <c r="P8" i="3" s="1"/>
  <c r="Q8" i="3" s="1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P39" i="3"/>
  <c r="Q39" i="3" s="1"/>
  <c r="R31" i="3"/>
  <c r="T31" i="3" s="1"/>
  <c r="R27" i="3"/>
  <c r="T27" i="3" s="1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Y7" i="3"/>
  <c r="N21" i="3"/>
  <c r="R15" i="3"/>
  <c r="O15" i="3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P37" i="3" s="1"/>
  <c r="Q37" i="3" s="1"/>
  <c r="R33" i="3"/>
  <c r="T33" i="3" s="1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P15" i="3" l="1"/>
  <c r="Q15" i="3" s="1"/>
  <c r="T23" i="3"/>
  <c r="P18" i="3"/>
  <c r="Q18" i="3" s="1"/>
  <c r="T26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T42" i="3" l="1"/>
  <c r="Q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<sst xmlns="http://schemas.openxmlformats.org/spreadsheetml/2006/main" count="394" uniqueCount="37">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</sst>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sqref="A1:L121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42979.495324074072</v>
      </c>
      <c r="B2">
        <v>1389.058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1.6</v>
      </c>
      <c r="I2">
        <v>-4.117</v>
      </c>
      <c r="J2">
        <v>7.5767230000000003</v>
      </c>
      <c r="K2">
        <v>93.098929999999996</v>
      </c>
      <c r="L2">
        <v>358.24369999999999</v>
      </c>
    </row>
    <row r="3" spans="1:12" x14ac:dyDescent="0.2">
      <c r="A3" s="1">
        <v>42979.495578703703</v>
      </c>
      <c r="B3">
        <v>1410.663</v>
      </c>
      <c r="C3">
        <v>0</v>
      </c>
      <c r="D3" t="s">
        <v>35</v>
      </c>
      <c r="E3" t="s">
        <v>0</v>
      </c>
      <c r="F3" t="s">
        <v>1</v>
      </c>
      <c r="G3">
        <v>-0.58387829999999996</v>
      </c>
      <c r="H3">
        <v>1.6</v>
      </c>
      <c r="I3">
        <v>-4.1560790000000001</v>
      </c>
      <c r="J3">
        <v>10.38546</v>
      </c>
      <c r="K3">
        <v>8.077814</v>
      </c>
      <c r="L3">
        <v>358.23930000000001</v>
      </c>
    </row>
    <row r="4" spans="1:12" x14ac:dyDescent="0.2">
      <c r="A4" s="1">
        <v>42979.496423611112</v>
      </c>
      <c r="B4">
        <v>1484.0989999999999</v>
      </c>
      <c r="C4">
        <v>0</v>
      </c>
      <c r="D4" t="s">
        <v>36</v>
      </c>
      <c r="E4" t="s">
        <v>0</v>
      </c>
      <c r="F4" t="s">
        <v>1</v>
      </c>
      <c r="G4">
        <v>-2.7426149999999998</v>
      </c>
      <c r="H4">
        <v>1.6</v>
      </c>
      <c r="I4">
        <v>-26.71716</v>
      </c>
      <c r="J4">
        <v>12.54068</v>
      </c>
      <c r="K4">
        <v>142.23849999999999</v>
      </c>
      <c r="L4">
        <v>359.76409999999998</v>
      </c>
    </row>
    <row r="5" spans="1:12" x14ac:dyDescent="0.2">
      <c r="A5" s="1">
        <v>42979.496666666666</v>
      </c>
      <c r="B5">
        <v>1504.867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1.6</v>
      </c>
      <c r="I5">
        <v>-4.3440000000000003</v>
      </c>
      <c r="J5">
        <v>13.0398</v>
      </c>
      <c r="K5">
        <v>128.94399999999999</v>
      </c>
      <c r="L5">
        <v>359.85169999999999</v>
      </c>
    </row>
    <row r="6" spans="1:12" x14ac:dyDescent="0.2">
      <c r="A6" s="1">
        <v>42979.496932870374</v>
      </c>
      <c r="B6">
        <v>1528.6469999999999</v>
      </c>
      <c r="C6">
        <v>1</v>
      </c>
      <c r="D6" t="s">
        <v>35</v>
      </c>
      <c r="E6" t="s">
        <v>2</v>
      </c>
      <c r="F6" t="s">
        <v>0</v>
      </c>
      <c r="G6">
        <v>3.888636</v>
      </c>
      <c r="H6">
        <v>1.6</v>
      </c>
      <c r="I6">
        <v>-4.3423829999999999</v>
      </c>
      <c r="J6">
        <v>15.57714</v>
      </c>
      <c r="K6">
        <v>359.1266</v>
      </c>
      <c r="L6">
        <v>0.22638240000000001</v>
      </c>
    </row>
    <row r="7" spans="1:12" x14ac:dyDescent="0.2">
      <c r="A7" s="1">
        <v>42979.497314814813</v>
      </c>
      <c r="B7">
        <v>1561.165</v>
      </c>
      <c r="C7">
        <v>1</v>
      </c>
      <c r="D7" t="s">
        <v>36</v>
      </c>
      <c r="E7" t="s">
        <v>2</v>
      </c>
      <c r="F7" t="s">
        <v>0</v>
      </c>
      <c r="G7">
        <v>8.6851529999999997</v>
      </c>
      <c r="H7">
        <v>1.6</v>
      </c>
      <c r="I7">
        <v>10.853120000000001</v>
      </c>
      <c r="J7">
        <v>17.410489999999999</v>
      </c>
      <c r="K7">
        <v>12.67069</v>
      </c>
      <c r="L7">
        <v>0.1070072</v>
      </c>
    </row>
    <row r="8" spans="1:12" x14ac:dyDescent="0.2">
      <c r="A8" s="1">
        <v>42979.497534722221</v>
      </c>
      <c r="B8">
        <v>1580.645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1.6</v>
      </c>
      <c r="I8">
        <v>1.8169999999999999</v>
      </c>
      <c r="J8">
        <v>13.7895</v>
      </c>
      <c r="K8">
        <v>0.32224039999999998</v>
      </c>
      <c r="L8">
        <v>358.76240000000001</v>
      </c>
    </row>
    <row r="9" spans="1:12" x14ac:dyDescent="0.2">
      <c r="A9" s="1">
        <v>42979.497650462959</v>
      </c>
      <c r="B9">
        <v>1590.001</v>
      </c>
      <c r="C9">
        <v>2</v>
      </c>
      <c r="D9" t="s">
        <v>35</v>
      </c>
      <c r="E9" t="s">
        <v>3</v>
      </c>
      <c r="F9" t="s">
        <v>4</v>
      </c>
      <c r="G9">
        <v>3.373364</v>
      </c>
      <c r="H9">
        <v>1.6</v>
      </c>
      <c r="I9">
        <v>1.8220050000000001</v>
      </c>
      <c r="J9">
        <v>21.078589999999998</v>
      </c>
      <c r="K9">
        <v>275.60559999999998</v>
      </c>
      <c r="L9">
        <v>358.21510000000001</v>
      </c>
    </row>
    <row r="10" spans="1:12" x14ac:dyDescent="0.2">
      <c r="A10" s="1">
        <v>42979.49796296296</v>
      </c>
      <c r="B10">
        <v>1617.2809999999999</v>
      </c>
      <c r="C10">
        <v>2</v>
      </c>
      <c r="D10" t="s">
        <v>36</v>
      </c>
      <c r="E10" t="s">
        <v>3</v>
      </c>
      <c r="F10" t="s">
        <v>4</v>
      </c>
      <c r="G10">
        <v>-9.8539709999999996</v>
      </c>
      <c r="H10">
        <v>1.6</v>
      </c>
      <c r="I10">
        <v>-0.19407279999999999</v>
      </c>
      <c r="J10">
        <v>17.15042</v>
      </c>
      <c r="K10">
        <v>242.4049</v>
      </c>
      <c r="L10">
        <v>357.72359999999998</v>
      </c>
    </row>
    <row r="11" spans="1:12" x14ac:dyDescent="0.2">
      <c r="A11" s="1">
        <v>42979.498032407406</v>
      </c>
      <c r="B11">
        <v>1622.981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1.6</v>
      </c>
      <c r="I11">
        <v>4.1399999999999997</v>
      </c>
      <c r="J11">
        <v>11.066750000000001</v>
      </c>
      <c r="K11">
        <v>238.37010000000001</v>
      </c>
      <c r="L11">
        <v>359.64100000000002</v>
      </c>
    </row>
    <row r="12" spans="1:12" x14ac:dyDescent="0.2">
      <c r="A12" s="1">
        <v>42979.498148148145</v>
      </c>
      <c r="B12">
        <v>1633.3820000000001</v>
      </c>
      <c r="C12">
        <v>3</v>
      </c>
      <c r="D12" t="s">
        <v>35</v>
      </c>
      <c r="E12" t="s">
        <v>1</v>
      </c>
      <c r="F12" t="s">
        <v>5</v>
      </c>
      <c r="G12">
        <v>-4.0659789999999996</v>
      </c>
      <c r="H12">
        <v>1.6</v>
      </c>
      <c r="I12">
        <v>4.0893930000000003</v>
      </c>
      <c r="J12">
        <v>16.845130000000001</v>
      </c>
      <c r="K12">
        <v>13.28683</v>
      </c>
      <c r="L12">
        <v>358.37270000000001</v>
      </c>
    </row>
    <row r="13" spans="1:12" x14ac:dyDescent="0.2">
      <c r="A13" s="1">
        <v>42979.498460648145</v>
      </c>
      <c r="B13">
        <v>1660.394</v>
      </c>
      <c r="C13">
        <v>3</v>
      </c>
      <c r="D13" t="s">
        <v>36</v>
      </c>
      <c r="E13" t="s">
        <v>1</v>
      </c>
      <c r="F13" t="s">
        <v>5</v>
      </c>
      <c r="G13">
        <v>-15.79599</v>
      </c>
      <c r="H13">
        <v>1.6</v>
      </c>
      <c r="I13">
        <v>21.587730000000001</v>
      </c>
      <c r="J13">
        <v>9.3781990000000004</v>
      </c>
      <c r="K13">
        <v>242.66309999999999</v>
      </c>
      <c r="L13">
        <v>355.88839999999999</v>
      </c>
    </row>
    <row r="14" spans="1:12" x14ac:dyDescent="0.2">
      <c r="A14" s="1">
        <v>42979.498576388891</v>
      </c>
      <c r="B14">
        <v>1670.2180000000001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1.6</v>
      </c>
      <c r="I14">
        <v>-0.67300000000000004</v>
      </c>
      <c r="J14">
        <v>5.0519920000000003</v>
      </c>
      <c r="K14">
        <v>237.12610000000001</v>
      </c>
      <c r="L14">
        <v>359.21949999999998</v>
      </c>
    </row>
    <row r="15" spans="1:12" x14ac:dyDescent="0.2">
      <c r="A15" s="1">
        <v>42979.498622685183</v>
      </c>
      <c r="B15">
        <v>1673.8920000000001</v>
      </c>
      <c r="C15">
        <v>4</v>
      </c>
      <c r="D15" t="s">
        <v>35</v>
      </c>
      <c r="E15" t="s">
        <v>4</v>
      </c>
      <c r="F15" t="s">
        <v>6</v>
      </c>
      <c r="G15">
        <v>3.7467259999999998</v>
      </c>
      <c r="H15">
        <v>1.6</v>
      </c>
      <c r="I15">
        <v>-0.68140319999999999</v>
      </c>
      <c r="J15">
        <v>14.32691</v>
      </c>
      <c r="K15">
        <v>184.7261</v>
      </c>
      <c r="L15">
        <v>357.96269999999998</v>
      </c>
    </row>
    <row r="16" spans="1:12" x14ac:dyDescent="0.2">
      <c r="A16" s="1">
        <v>42979.498912037037</v>
      </c>
      <c r="B16">
        <v>1699.597</v>
      </c>
      <c r="C16">
        <v>4</v>
      </c>
      <c r="D16" t="s">
        <v>36</v>
      </c>
      <c r="E16" t="s">
        <v>4</v>
      </c>
      <c r="F16" t="s">
        <v>6</v>
      </c>
      <c r="G16">
        <v>-2.9203739999999998</v>
      </c>
      <c r="H16">
        <v>1.6</v>
      </c>
      <c r="I16">
        <v>-22.852</v>
      </c>
      <c r="J16">
        <v>8.6649419999999999</v>
      </c>
      <c r="K16">
        <v>170.12639999999999</v>
      </c>
      <c r="L16">
        <v>357.71379999999999</v>
      </c>
    </row>
    <row r="17" spans="1:12" x14ac:dyDescent="0.2">
      <c r="A17" s="1">
        <v>42979.49894675926</v>
      </c>
      <c r="B17">
        <v>1701.9739999999999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1.6</v>
      </c>
      <c r="I17">
        <v>-4.117</v>
      </c>
      <c r="J17">
        <v>10.71416</v>
      </c>
      <c r="K17">
        <v>168.68860000000001</v>
      </c>
      <c r="L17">
        <v>357.4024</v>
      </c>
    </row>
    <row r="18" spans="1:12" x14ac:dyDescent="0.2">
      <c r="A18" s="1">
        <v>42979.499108796299</v>
      </c>
      <c r="B18">
        <v>1715.9970000000001</v>
      </c>
      <c r="C18">
        <v>5</v>
      </c>
      <c r="D18" t="s">
        <v>35</v>
      </c>
      <c r="E18" t="s">
        <v>0</v>
      </c>
      <c r="F18" t="s">
        <v>1</v>
      </c>
      <c r="G18">
        <v>-0.76714369999999998</v>
      </c>
      <c r="H18">
        <v>1.6</v>
      </c>
      <c r="I18">
        <v>-4.2705029999999997</v>
      </c>
      <c r="J18">
        <v>14.32662</v>
      </c>
      <c r="K18">
        <v>3.8885619999999999</v>
      </c>
      <c r="L18">
        <v>358.99770000000001</v>
      </c>
    </row>
    <row r="19" spans="1:12" x14ac:dyDescent="0.2">
      <c r="A19" s="1">
        <v>42979.499467592592</v>
      </c>
      <c r="B19">
        <v>1747.192</v>
      </c>
      <c r="C19">
        <v>5</v>
      </c>
      <c r="D19" t="s">
        <v>36</v>
      </c>
      <c r="E19" t="s">
        <v>0</v>
      </c>
      <c r="F19" t="s">
        <v>1</v>
      </c>
      <c r="G19">
        <v>6.6576719999999998</v>
      </c>
      <c r="H19">
        <v>1.6</v>
      </c>
      <c r="I19">
        <v>15.77622</v>
      </c>
      <c r="J19">
        <v>9.3660530000000008</v>
      </c>
      <c r="K19">
        <v>292.05160000000001</v>
      </c>
      <c r="L19">
        <v>356.35840000000002</v>
      </c>
    </row>
    <row r="20" spans="1:12" x14ac:dyDescent="0.2">
      <c r="A20" s="1">
        <v>42979.499525462961</v>
      </c>
      <c r="B20">
        <v>1752.5640000000001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1.6</v>
      </c>
      <c r="I20">
        <v>-1.4059999999999999</v>
      </c>
      <c r="J20">
        <v>8.7406690000000005</v>
      </c>
      <c r="K20">
        <v>290.79849999999999</v>
      </c>
      <c r="L20">
        <v>357.80860000000001</v>
      </c>
    </row>
    <row r="21" spans="1:12" x14ac:dyDescent="0.2">
      <c r="A21" s="1">
        <v>42979.499652777777</v>
      </c>
      <c r="B21">
        <v>1763.2260000000001</v>
      </c>
      <c r="C21">
        <v>6</v>
      </c>
      <c r="D21" t="s">
        <v>35</v>
      </c>
      <c r="E21" t="s">
        <v>33</v>
      </c>
      <c r="F21" t="s">
        <v>3</v>
      </c>
      <c r="G21">
        <v>-3.9742280000000001</v>
      </c>
      <c r="H21">
        <v>1.6</v>
      </c>
      <c r="I21">
        <v>-1.405613</v>
      </c>
      <c r="J21">
        <v>24.283570000000001</v>
      </c>
      <c r="K21">
        <v>356.93560000000002</v>
      </c>
      <c r="L21">
        <v>359.51130000000001</v>
      </c>
    </row>
    <row r="22" spans="1:12" x14ac:dyDescent="0.2">
      <c r="A22" s="1">
        <v>42979.499988425923</v>
      </c>
      <c r="B22">
        <v>1792.6479999999999</v>
      </c>
      <c r="C22">
        <v>6</v>
      </c>
      <c r="D22" t="s">
        <v>36</v>
      </c>
      <c r="E22" t="s">
        <v>33</v>
      </c>
      <c r="F22" t="s">
        <v>3</v>
      </c>
      <c r="G22">
        <v>-15.38517</v>
      </c>
      <c r="H22">
        <v>1.6</v>
      </c>
      <c r="I22">
        <v>7.4732430000000001</v>
      </c>
      <c r="J22">
        <v>13.863709999999999</v>
      </c>
      <c r="K22">
        <v>270.85550000000001</v>
      </c>
      <c r="L22">
        <v>358.81400000000002</v>
      </c>
    </row>
    <row r="23" spans="1:12" x14ac:dyDescent="0.2">
      <c r="A23" s="1">
        <v>42979.5000462963</v>
      </c>
      <c r="B23">
        <v>1796.9659999999999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1.6</v>
      </c>
      <c r="I23">
        <v>4.1399999999999997</v>
      </c>
      <c r="J23">
        <v>11.711980000000001</v>
      </c>
      <c r="K23">
        <v>267.93669999999997</v>
      </c>
      <c r="L23">
        <v>359.27190000000002</v>
      </c>
    </row>
    <row r="24" spans="1:12" x14ac:dyDescent="0.2">
      <c r="A24" s="1">
        <v>42979.500115740739</v>
      </c>
      <c r="B24">
        <v>1803.412</v>
      </c>
      <c r="C24">
        <v>7</v>
      </c>
      <c r="D24" t="s">
        <v>35</v>
      </c>
      <c r="E24" t="s">
        <v>1</v>
      </c>
      <c r="F24" t="s">
        <v>5</v>
      </c>
      <c r="G24">
        <v>-3.9078200000000001</v>
      </c>
      <c r="H24">
        <v>1.6</v>
      </c>
      <c r="I24">
        <v>4.0480960000000001</v>
      </c>
      <c r="J24">
        <v>12.534140000000001</v>
      </c>
      <c r="K24">
        <v>12.51343</v>
      </c>
      <c r="L24">
        <v>357.60329999999999</v>
      </c>
    </row>
    <row r="25" spans="1:12" x14ac:dyDescent="0.2">
      <c r="A25" s="1">
        <v>42979.500532407408</v>
      </c>
      <c r="B25">
        <v>1839.009</v>
      </c>
      <c r="C25">
        <v>7</v>
      </c>
      <c r="D25" t="s">
        <v>36</v>
      </c>
      <c r="E25" t="s">
        <v>1</v>
      </c>
      <c r="F25" t="s">
        <v>5</v>
      </c>
      <c r="G25">
        <v>20.246749999999999</v>
      </c>
      <c r="H25">
        <v>1.6</v>
      </c>
      <c r="I25">
        <v>12.3398</v>
      </c>
      <c r="J25">
        <v>10.88016</v>
      </c>
      <c r="K25">
        <v>346.42570000000001</v>
      </c>
      <c r="L25">
        <v>356.5206</v>
      </c>
    </row>
    <row r="26" spans="1:12" x14ac:dyDescent="0.2">
      <c r="A26" s="1">
        <v>42979.500543981485</v>
      </c>
      <c r="B26">
        <v>1840.3810000000001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1.6</v>
      </c>
      <c r="I26">
        <v>-4.3440000000000003</v>
      </c>
      <c r="J26">
        <v>10.751329999999999</v>
      </c>
      <c r="K26">
        <v>347.19069999999999</v>
      </c>
      <c r="L26">
        <v>356.55029999999999</v>
      </c>
    </row>
    <row r="27" spans="1:12" x14ac:dyDescent="0.2">
      <c r="A27" s="1">
        <v>42979.500601851854</v>
      </c>
      <c r="B27">
        <v>1845.201</v>
      </c>
      <c r="C27">
        <v>8</v>
      </c>
      <c r="D27" t="s">
        <v>35</v>
      </c>
      <c r="E27" t="s">
        <v>2</v>
      </c>
      <c r="F27" t="s">
        <v>0</v>
      </c>
      <c r="G27">
        <v>3.516</v>
      </c>
      <c r="H27">
        <v>1.6</v>
      </c>
      <c r="I27">
        <v>-4.3440000000000003</v>
      </c>
      <c r="J27">
        <v>16.898330000000001</v>
      </c>
      <c r="K27">
        <v>4.2576340000000004</v>
      </c>
      <c r="L27">
        <v>357.0104</v>
      </c>
    </row>
    <row r="28" spans="1:12" x14ac:dyDescent="0.2">
      <c r="A28" s="1">
        <v>42979.500844907408</v>
      </c>
      <c r="B28">
        <v>1866.203</v>
      </c>
      <c r="C28">
        <v>8</v>
      </c>
      <c r="D28" t="s">
        <v>36</v>
      </c>
      <c r="E28" t="s">
        <v>2</v>
      </c>
      <c r="F28" t="s">
        <v>0</v>
      </c>
      <c r="G28">
        <v>2.3838879999999998</v>
      </c>
      <c r="H28">
        <v>1.6</v>
      </c>
      <c r="I28">
        <v>11.332179999999999</v>
      </c>
      <c r="J28">
        <v>10.385859999999999</v>
      </c>
      <c r="K28">
        <v>277.53129999999999</v>
      </c>
      <c r="L28">
        <v>356.81229999999999</v>
      </c>
    </row>
    <row r="29" spans="1:12" x14ac:dyDescent="0.2">
      <c r="A29" s="1">
        <v>42979.500891203701</v>
      </c>
      <c r="B29">
        <v>1870.771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1.6</v>
      </c>
      <c r="I29">
        <v>-1.4059999999999999</v>
      </c>
      <c r="J29">
        <v>10.033810000000001</v>
      </c>
      <c r="K29">
        <v>277.38459999999998</v>
      </c>
      <c r="L29">
        <v>355.92009999999999</v>
      </c>
    </row>
    <row r="30" spans="1:12" x14ac:dyDescent="0.2">
      <c r="A30" s="1">
        <v>42979.500960648147</v>
      </c>
      <c r="B30">
        <v>1876.722</v>
      </c>
      <c r="C30">
        <v>9</v>
      </c>
      <c r="D30" t="s">
        <v>35</v>
      </c>
      <c r="E30" t="s">
        <v>33</v>
      </c>
      <c r="F30" t="s">
        <v>3</v>
      </c>
      <c r="G30">
        <v>-3.9809999999999999</v>
      </c>
      <c r="H30">
        <v>1.6</v>
      </c>
      <c r="I30">
        <v>-1.4059999999999999</v>
      </c>
      <c r="J30">
        <v>22.906479999999998</v>
      </c>
      <c r="K30">
        <v>5.5344110000000004</v>
      </c>
      <c r="L30">
        <v>358.97050000000002</v>
      </c>
    </row>
    <row r="31" spans="1:12" x14ac:dyDescent="0.2">
      <c r="A31" s="1">
        <v>42979.501307870371</v>
      </c>
      <c r="B31">
        <v>1905.943</v>
      </c>
      <c r="C31">
        <v>9</v>
      </c>
      <c r="D31" t="s">
        <v>36</v>
      </c>
      <c r="E31" t="s">
        <v>33</v>
      </c>
      <c r="F31" t="s">
        <v>3</v>
      </c>
      <c r="G31">
        <v>10.58869</v>
      </c>
      <c r="H31">
        <v>1.6</v>
      </c>
      <c r="I31">
        <v>12.1713</v>
      </c>
      <c r="J31">
        <v>16.421500000000002</v>
      </c>
      <c r="K31">
        <v>311.19749999999999</v>
      </c>
      <c r="L31">
        <v>356.3526</v>
      </c>
    </row>
    <row r="32" spans="1:12" x14ac:dyDescent="0.2">
      <c r="A32" s="1">
        <v>42979.501319444447</v>
      </c>
      <c r="B32">
        <v>1907.5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1.6</v>
      </c>
      <c r="I32">
        <v>2.7240000000000002</v>
      </c>
      <c r="J32">
        <v>15.523160000000001</v>
      </c>
      <c r="K32">
        <v>312.20280000000002</v>
      </c>
      <c r="L32">
        <v>357.39499999999998</v>
      </c>
    </row>
    <row r="33" spans="1:12" x14ac:dyDescent="0.2">
      <c r="A33" s="1">
        <v>42979.501354166663</v>
      </c>
      <c r="B33">
        <v>1910.345</v>
      </c>
      <c r="C33">
        <v>10</v>
      </c>
      <c r="D33" t="s">
        <v>35</v>
      </c>
      <c r="E33" t="s">
        <v>5</v>
      </c>
      <c r="F33" t="s">
        <v>2</v>
      </c>
      <c r="G33">
        <v>7.0106749999999995E-2</v>
      </c>
      <c r="H33">
        <v>1.6</v>
      </c>
      <c r="I33">
        <v>2.715903</v>
      </c>
      <c r="J33">
        <v>15.605460000000001</v>
      </c>
      <c r="K33">
        <v>7.3754479999999996</v>
      </c>
      <c r="L33">
        <v>357.95819999999998</v>
      </c>
    </row>
    <row r="34" spans="1:12" x14ac:dyDescent="0.2">
      <c r="A34" s="1">
        <v>42979.501620370371</v>
      </c>
      <c r="B34">
        <v>1933.557</v>
      </c>
      <c r="C34">
        <v>10</v>
      </c>
      <c r="D34" t="s">
        <v>36</v>
      </c>
      <c r="E34" t="s">
        <v>5</v>
      </c>
      <c r="F34" t="s">
        <v>2</v>
      </c>
      <c r="G34">
        <v>-16.47214</v>
      </c>
      <c r="H34">
        <v>1.6</v>
      </c>
      <c r="I34">
        <v>17.156279999999999</v>
      </c>
      <c r="J34">
        <v>8.6033810000000006</v>
      </c>
      <c r="K34">
        <v>225.25540000000001</v>
      </c>
      <c r="L34">
        <v>355.61840000000001</v>
      </c>
    </row>
    <row r="35" spans="1:12" x14ac:dyDescent="0.2">
      <c r="A35" s="1">
        <v>42979.501643518517</v>
      </c>
      <c r="B35">
        <v>1935.114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1.6</v>
      </c>
      <c r="I35">
        <v>-4.117</v>
      </c>
      <c r="J35">
        <v>10.027900000000001</v>
      </c>
      <c r="K35">
        <v>226.6765</v>
      </c>
      <c r="L35">
        <v>357.17989999999998</v>
      </c>
    </row>
    <row r="36" spans="1:12" x14ac:dyDescent="0.2">
      <c r="A36" s="1">
        <v>42979.501689814817</v>
      </c>
      <c r="B36">
        <v>1939.297</v>
      </c>
      <c r="C36">
        <v>11</v>
      </c>
      <c r="D36" t="s">
        <v>35</v>
      </c>
      <c r="E36" t="s">
        <v>0</v>
      </c>
      <c r="F36" t="s">
        <v>1</v>
      </c>
      <c r="G36">
        <v>-0.76407899999999995</v>
      </c>
      <c r="H36">
        <v>1.6</v>
      </c>
      <c r="I36">
        <v>-4.2492109999999998</v>
      </c>
      <c r="J36">
        <v>15.30322</v>
      </c>
      <c r="K36">
        <v>357.06400000000002</v>
      </c>
      <c r="L36">
        <v>359.91370000000001</v>
      </c>
    </row>
    <row r="37" spans="1:12" x14ac:dyDescent="0.2">
      <c r="A37" s="1">
        <v>42979.50204861111</v>
      </c>
      <c r="B37">
        <v>1970.308</v>
      </c>
      <c r="C37">
        <v>11</v>
      </c>
      <c r="D37" t="s">
        <v>36</v>
      </c>
      <c r="E37" t="s">
        <v>0</v>
      </c>
      <c r="F37" t="s">
        <v>1</v>
      </c>
      <c r="G37">
        <v>-14.92399</v>
      </c>
      <c r="H37">
        <v>1.6</v>
      </c>
      <c r="I37">
        <v>14.348470000000001</v>
      </c>
      <c r="J37">
        <v>13.281929999999999</v>
      </c>
      <c r="K37">
        <v>288.26080000000002</v>
      </c>
      <c r="L37">
        <v>356.20510000000002</v>
      </c>
    </row>
    <row r="38" spans="1:12" x14ac:dyDescent="0.2">
      <c r="A38" s="1">
        <v>42979.502083333333</v>
      </c>
      <c r="B38">
        <v>1973.5719999999999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1.6</v>
      </c>
      <c r="I38">
        <v>1.8169999999999999</v>
      </c>
      <c r="J38">
        <v>10.684049999999999</v>
      </c>
      <c r="K38">
        <v>287.10050000000001</v>
      </c>
      <c r="L38">
        <v>356.88940000000002</v>
      </c>
    </row>
    <row r="39" spans="1:12" x14ac:dyDescent="0.2">
      <c r="A39" s="1">
        <v>42979.502106481479</v>
      </c>
      <c r="B39">
        <v>1975.279</v>
      </c>
      <c r="C39">
        <v>12</v>
      </c>
      <c r="D39" t="s">
        <v>35</v>
      </c>
      <c r="E39" t="s">
        <v>3</v>
      </c>
      <c r="F39" t="s">
        <v>4</v>
      </c>
      <c r="G39">
        <v>3.3746659999999999</v>
      </c>
      <c r="H39">
        <v>1.6</v>
      </c>
      <c r="I39">
        <v>1.847701</v>
      </c>
      <c r="J39">
        <v>25.505230000000001</v>
      </c>
      <c r="K39">
        <v>272.05119999999999</v>
      </c>
      <c r="L39">
        <v>356.39330000000001</v>
      </c>
    </row>
    <row r="40" spans="1:12" x14ac:dyDescent="0.2">
      <c r="A40" s="1">
        <v>42979.502256944441</v>
      </c>
      <c r="B40">
        <v>1988.5830000000001</v>
      </c>
      <c r="C40">
        <v>12</v>
      </c>
      <c r="D40" t="s">
        <v>36</v>
      </c>
      <c r="E40" t="s">
        <v>3</v>
      </c>
      <c r="F40" t="s">
        <v>4</v>
      </c>
      <c r="G40">
        <v>1.191989</v>
      </c>
      <c r="H40">
        <v>1.6</v>
      </c>
      <c r="I40">
        <v>3.2134719999999999</v>
      </c>
      <c r="J40">
        <v>20.296849999999999</v>
      </c>
      <c r="K40">
        <v>215.90289999999999</v>
      </c>
      <c r="L40">
        <v>355.88459999999998</v>
      </c>
    </row>
    <row r="41" spans="1:12" x14ac:dyDescent="0.2">
      <c r="A41" s="1">
        <v>42979.502268518518</v>
      </c>
      <c r="B41">
        <v>1989.83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1.6</v>
      </c>
      <c r="I41">
        <v>-1.4059999999999999</v>
      </c>
      <c r="J41">
        <v>18.699390000000001</v>
      </c>
      <c r="K41">
        <v>219.79140000000001</v>
      </c>
      <c r="L41">
        <v>356.08969999999999</v>
      </c>
    </row>
    <row r="42" spans="1:12" x14ac:dyDescent="0.2">
      <c r="A42" s="1">
        <v>42979.502349537041</v>
      </c>
      <c r="B42">
        <v>1996.5740000000001</v>
      </c>
      <c r="C42">
        <v>13</v>
      </c>
      <c r="D42" t="s">
        <v>35</v>
      </c>
      <c r="E42" t="s">
        <v>33</v>
      </c>
      <c r="F42" t="s">
        <v>3</v>
      </c>
      <c r="G42">
        <v>-3.9789080000000001</v>
      </c>
      <c r="H42">
        <v>1.6</v>
      </c>
      <c r="I42">
        <v>-1.4014789999999999</v>
      </c>
      <c r="J42">
        <v>18.213509999999999</v>
      </c>
      <c r="K42">
        <v>351.44479999999999</v>
      </c>
      <c r="L42">
        <v>359.0478</v>
      </c>
    </row>
    <row r="43" spans="1:12" x14ac:dyDescent="0.2">
      <c r="A43" s="1">
        <v>42979.502604166664</v>
      </c>
      <c r="B43">
        <v>2018.481</v>
      </c>
      <c r="C43">
        <v>13</v>
      </c>
      <c r="D43" t="s">
        <v>36</v>
      </c>
      <c r="E43" t="s">
        <v>33</v>
      </c>
      <c r="F43" t="s">
        <v>3</v>
      </c>
      <c r="G43">
        <v>12.41995</v>
      </c>
      <c r="H43">
        <v>1.6</v>
      </c>
      <c r="I43">
        <v>0.90761340000000001</v>
      </c>
      <c r="J43">
        <v>13.52172</v>
      </c>
      <c r="K43">
        <v>354.90039999999999</v>
      </c>
      <c r="L43">
        <v>355.08370000000002</v>
      </c>
    </row>
    <row r="44" spans="1:12" x14ac:dyDescent="0.2">
      <c r="A44" s="1">
        <v>42979.502615740741</v>
      </c>
      <c r="B44">
        <v>2019.5350000000001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1.6</v>
      </c>
      <c r="I44">
        <v>2.7240000000000002</v>
      </c>
      <c r="J44">
        <v>13.487730000000001</v>
      </c>
      <c r="K44">
        <v>357.10599999999999</v>
      </c>
      <c r="L44">
        <v>356.69909999999999</v>
      </c>
    </row>
    <row r="45" spans="1:12" x14ac:dyDescent="0.2">
      <c r="A45" s="1">
        <v>42979.502662037034</v>
      </c>
      <c r="B45">
        <v>2023.2339999999999</v>
      </c>
      <c r="C45">
        <v>14</v>
      </c>
      <c r="D45" t="s">
        <v>35</v>
      </c>
      <c r="E45" t="s">
        <v>5</v>
      </c>
      <c r="F45" t="s">
        <v>2</v>
      </c>
      <c r="G45">
        <v>1.6E-2</v>
      </c>
      <c r="H45">
        <v>1.6</v>
      </c>
      <c r="I45">
        <v>2.7240000000000002</v>
      </c>
      <c r="J45">
        <v>18.72383</v>
      </c>
      <c r="K45">
        <v>359.97250000000003</v>
      </c>
      <c r="L45">
        <v>356.24990000000003</v>
      </c>
    </row>
    <row r="46" spans="1:12" x14ac:dyDescent="0.2">
      <c r="A46" s="1">
        <v>42979.502951388888</v>
      </c>
      <c r="B46">
        <v>2048.2869999999998</v>
      </c>
      <c r="C46">
        <v>14</v>
      </c>
      <c r="D46" t="s">
        <v>36</v>
      </c>
      <c r="E46" t="s">
        <v>5</v>
      </c>
      <c r="F46" t="s">
        <v>2</v>
      </c>
      <c r="G46">
        <v>-12.49183</v>
      </c>
      <c r="H46">
        <v>1.6</v>
      </c>
      <c r="I46">
        <v>22.825330000000001</v>
      </c>
      <c r="J46">
        <v>5.432328</v>
      </c>
      <c r="K46">
        <v>256.1318</v>
      </c>
      <c r="L46">
        <v>355.67840000000001</v>
      </c>
    </row>
    <row r="47" spans="1:12" x14ac:dyDescent="0.2">
      <c r="A47" s="1">
        <v>42979.502962962964</v>
      </c>
      <c r="B47">
        <v>2049.3409999999999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1.6</v>
      </c>
      <c r="I47">
        <v>0.09</v>
      </c>
      <c r="J47">
        <v>6.9943520000000001</v>
      </c>
      <c r="K47">
        <v>254.28559999999999</v>
      </c>
      <c r="L47">
        <v>355.72550000000001</v>
      </c>
    </row>
    <row r="48" spans="1:12" x14ac:dyDescent="0.2">
      <c r="A48" s="1">
        <v>42979.503009259257</v>
      </c>
      <c r="B48">
        <v>2053.5250000000001</v>
      </c>
      <c r="C48">
        <v>15</v>
      </c>
      <c r="D48" t="s">
        <v>35</v>
      </c>
      <c r="E48" t="s">
        <v>6</v>
      </c>
      <c r="F48" t="s">
        <v>33</v>
      </c>
      <c r="G48">
        <v>-4.0539370000000003</v>
      </c>
      <c r="H48">
        <v>1.6</v>
      </c>
      <c r="I48">
        <v>3.8851240000000002E-2</v>
      </c>
      <c r="J48">
        <v>15.20227</v>
      </c>
      <c r="K48">
        <v>10.137639999999999</v>
      </c>
      <c r="L48">
        <v>357.4298</v>
      </c>
    </row>
    <row r="49" spans="1:12" x14ac:dyDescent="0.2">
      <c r="A49" s="1">
        <v>42979.50335648148</v>
      </c>
      <c r="B49">
        <v>2082.8969999999999</v>
      </c>
      <c r="C49">
        <v>15</v>
      </c>
      <c r="D49" t="s">
        <v>36</v>
      </c>
      <c r="E49" t="s">
        <v>6</v>
      </c>
      <c r="F49" t="s">
        <v>33</v>
      </c>
      <c r="G49">
        <v>12.13768</v>
      </c>
      <c r="H49">
        <v>1.6</v>
      </c>
      <c r="I49">
        <v>6.2573790000000002</v>
      </c>
      <c r="J49">
        <v>8.4590230000000002</v>
      </c>
      <c r="K49">
        <v>13.77373</v>
      </c>
      <c r="L49">
        <v>356.39190000000002</v>
      </c>
    </row>
    <row r="50" spans="1:12" x14ac:dyDescent="0.2">
      <c r="A50" s="1">
        <v>42979.503368055557</v>
      </c>
      <c r="B50">
        <v>2083.9009999999998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1.6</v>
      </c>
      <c r="I50">
        <v>-0.67300000000000004</v>
      </c>
      <c r="J50">
        <v>8.1209469999999992</v>
      </c>
      <c r="K50">
        <v>13.98657</v>
      </c>
      <c r="L50">
        <v>356.91840000000002</v>
      </c>
    </row>
    <row r="51" spans="1:12" x14ac:dyDescent="0.2">
      <c r="A51" s="1">
        <v>42979.503495370373</v>
      </c>
      <c r="B51">
        <v>2094.7460000000001</v>
      </c>
      <c r="C51">
        <v>16</v>
      </c>
      <c r="D51" t="s">
        <v>35</v>
      </c>
      <c r="E51" t="s">
        <v>4</v>
      </c>
      <c r="F51" t="s">
        <v>6</v>
      </c>
      <c r="G51">
        <v>3.7797079999999998</v>
      </c>
      <c r="H51">
        <v>1.6</v>
      </c>
      <c r="I51">
        <v>-0.67073119999999997</v>
      </c>
      <c r="J51">
        <v>31.036639999999998</v>
      </c>
      <c r="K51">
        <v>183.1585</v>
      </c>
      <c r="L51">
        <v>357.28519999999997</v>
      </c>
    </row>
    <row r="52" spans="1:12" x14ac:dyDescent="0.2">
      <c r="A52" s="1">
        <v>42979.503796296296</v>
      </c>
      <c r="B52">
        <v>2120.5340000000001</v>
      </c>
      <c r="C52">
        <v>16</v>
      </c>
      <c r="D52" t="s">
        <v>36</v>
      </c>
      <c r="E52" t="s">
        <v>4</v>
      </c>
      <c r="F52" t="s">
        <v>6</v>
      </c>
      <c r="G52">
        <v>25.241219999999998</v>
      </c>
      <c r="H52">
        <v>1.6</v>
      </c>
      <c r="I52">
        <v>-17.608920000000001</v>
      </c>
      <c r="J52">
        <v>6.3257700000000003</v>
      </c>
      <c r="K52">
        <v>42.346440000000001</v>
      </c>
      <c r="L52">
        <v>356.3571</v>
      </c>
    </row>
    <row r="53" spans="1:12" x14ac:dyDescent="0.2">
      <c r="A53" s="1">
        <v>42979.503807870373</v>
      </c>
      <c r="B53">
        <v>2121.5549999999998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1.6</v>
      </c>
      <c r="I53">
        <v>1.8169999999999999</v>
      </c>
      <c r="J53">
        <v>6.6930209999999999</v>
      </c>
      <c r="K53">
        <v>41.44576</v>
      </c>
      <c r="L53">
        <v>356.84350000000001</v>
      </c>
    </row>
    <row r="54" spans="1:12" x14ac:dyDescent="0.2">
      <c r="A54" s="1">
        <v>42979.503854166665</v>
      </c>
      <c r="B54">
        <v>2125.471</v>
      </c>
      <c r="C54">
        <v>17</v>
      </c>
      <c r="D54" t="s">
        <v>35</v>
      </c>
      <c r="E54" t="s">
        <v>3</v>
      </c>
      <c r="F54" t="s">
        <v>4</v>
      </c>
      <c r="G54">
        <v>3.3767100000000001</v>
      </c>
      <c r="H54">
        <v>1.6</v>
      </c>
      <c r="I54">
        <v>1.847456</v>
      </c>
      <c r="J54">
        <v>26.452380000000002</v>
      </c>
      <c r="K54">
        <v>311.46780000000001</v>
      </c>
      <c r="L54">
        <v>356.23750000000001</v>
      </c>
    </row>
    <row r="55" spans="1:12" x14ac:dyDescent="0.2">
      <c r="A55" s="1">
        <v>42979.503865740742</v>
      </c>
      <c r="B55">
        <v>2126.96</v>
      </c>
      <c r="C55">
        <v>17</v>
      </c>
      <c r="D55" t="s">
        <v>36</v>
      </c>
      <c r="E55" t="s">
        <v>3</v>
      </c>
      <c r="F55" t="s">
        <v>4</v>
      </c>
      <c r="G55">
        <v>3.3987020000000001</v>
      </c>
      <c r="H55">
        <v>1.6</v>
      </c>
      <c r="I55">
        <v>1.84596</v>
      </c>
      <c r="J55">
        <v>14.86645</v>
      </c>
      <c r="K55">
        <v>27.42559</v>
      </c>
      <c r="L55">
        <v>358.22649999999999</v>
      </c>
    </row>
    <row r="56" spans="1:12" x14ac:dyDescent="0.2">
      <c r="A56" s="1">
        <v>42979.504143518519</v>
      </c>
      <c r="B56">
        <v>2150.674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1.6</v>
      </c>
      <c r="I56">
        <v>-4.3440000000000003</v>
      </c>
      <c r="J56">
        <v>13.248849999999999</v>
      </c>
      <c r="K56">
        <v>42.747109999999999</v>
      </c>
      <c r="L56">
        <v>357.87709999999998</v>
      </c>
    </row>
    <row r="57" spans="1:12" x14ac:dyDescent="0.2">
      <c r="A57" s="1">
        <v>42979.504166666666</v>
      </c>
      <c r="B57">
        <v>2152.683</v>
      </c>
      <c r="C57">
        <v>18</v>
      </c>
      <c r="D57" t="s">
        <v>35</v>
      </c>
      <c r="E57" t="s">
        <v>2</v>
      </c>
      <c r="F57" t="s">
        <v>0</v>
      </c>
      <c r="G57">
        <v>3.516</v>
      </c>
      <c r="H57">
        <v>1.6</v>
      </c>
      <c r="I57">
        <v>-4.3440000000000003</v>
      </c>
      <c r="J57">
        <v>17.764669999999999</v>
      </c>
      <c r="K57">
        <v>359.51900000000001</v>
      </c>
      <c r="L57">
        <v>356.15750000000003</v>
      </c>
    </row>
    <row r="58" spans="1:12" x14ac:dyDescent="0.2">
      <c r="A58" s="1">
        <v>42979.504490740743</v>
      </c>
      <c r="B58">
        <v>2180.3789999999999</v>
      </c>
      <c r="C58">
        <v>18</v>
      </c>
      <c r="D58" t="s">
        <v>36</v>
      </c>
      <c r="E58" t="s">
        <v>2</v>
      </c>
      <c r="F58" t="s">
        <v>0</v>
      </c>
      <c r="G58">
        <v>21.612639999999999</v>
      </c>
      <c r="H58">
        <v>1.6</v>
      </c>
      <c r="I58">
        <v>-3.702197</v>
      </c>
      <c r="J58">
        <v>8.2377409999999998</v>
      </c>
      <c r="K58">
        <v>23.946020000000001</v>
      </c>
      <c r="L58">
        <v>357.16059999999999</v>
      </c>
    </row>
    <row r="59" spans="1:12" x14ac:dyDescent="0.2">
      <c r="A59" s="1">
        <v>42979.504502314812</v>
      </c>
      <c r="B59">
        <v>2181.5259999999998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1.6</v>
      </c>
      <c r="I59">
        <v>-0.67300000000000004</v>
      </c>
      <c r="J59">
        <v>8.2396080000000005</v>
      </c>
      <c r="K59">
        <v>23.558250000000001</v>
      </c>
      <c r="L59">
        <v>358.02460000000002</v>
      </c>
    </row>
    <row r="60" spans="1:12" x14ac:dyDescent="0.2">
      <c r="A60" s="1">
        <v>42979.504548611112</v>
      </c>
      <c r="B60">
        <v>2185.576</v>
      </c>
      <c r="C60">
        <v>19</v>
      </c>
      <c r="D60" t="s">
        <v>35</v>
      </c>
      <c r="E60" t="s">
        <v>4</v>
      </c>
      <c r="F60" t="s">
        <v>6</v>
      </c>
      <c r="G60">
        <v>3.7853910000000002</v>
      </c>
      <c r="H60">
        <v>1.6</v>
      </c>
      <c r="I60">
        <v>-0.67711089999999996</v>
      </c>
      <c r="J60">
        <v>18.80376</v>
      </c>
      <c r="K60">
        <v>194.63210000000001</v>
      </c>
      <c r="L60">
        <v>2.954974</v>
      </c>
    </row>
    <row r="61" spans="1:12" x14ac:dyDescent="0.2">
      <c r="A61" s="1">
        <v>42979.504826388889</v>
      </c>
      <c r="B61">
        <v>2209.7069999999999</v>
      </c>
      <c r="C61">
        <v>19</v>
      </c>
      <c r="D61" t="s">
        <v>36</v>
      </c>
      <c r="E61" t="s">
        <v>4</v>
      </c>
      <c r="F61" t="s">
        <v>6</v>
      </c>
      <c r="G61">
        <v>26.008900000000001</v>
      </c>
      <c r="H61">
        <v>1.6</v>
      </c>
      <c r="I61">
        <v>16.283329999999999</v>
      </c>
      <c r="J61">
        <v>4.5815840000000003</v>
      </c>
      <c r="K61">
        <v>312.93060000000003</v>
      </c>
      <c r="L61">
        <v>355.71749999999997</v>
      </c>
    </row>
    <row r="62" spans="1:12" x14ac:dyDescent="0.2">
      <c r="A62" s="1">
        <v>42979.504837962966</v>
      </c>
      <c r="B62">
        <v>2210.7779999999998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1.6</v>
      </c>
      <c r="I62">
        <v>-1.4059999999999999</v>
      </c>
      <c r="J62">
        <v>4.9783400000000002</v>
      </c>
      <c r="K62">
        <v>313.86270000000002</v>
      </c>
      <c r="L62">
        <v>356.7398</v>
      </c>
    </row>
    <row r="63" spans="1:12" x14ac:dyDescent="0.2">
      <c r="A63" s="1">
        <v>42979.504861111112</v>
      </c>
      <c r="B63">
        <v>2212.3609999999999</v>
      </c>
      <c r="C63">
        <v>20</v>
      </c>
      <c r="D63" t="s">
        <v>35</v>
      </c>
      <c r="E63" t="s">
        <v>33</v>
      </c>
      <c r="F63" t="s">
        <v>3</v>
      </c>
      <c r="G63">
        <v>-3.9809999999999999</v>
      </c>
      <c r="H63">
        <v>1.6</v>
      </c>
      <c r="I63">
        <v>-1.4059999999999999</v>
      </c>
      <c r="J63">
        <v>18.269670000000001</v>
      </c>
      <c r="K63">
        <v>5.2579950000000002</v>
      </c>
      <c r="L63">
        <v>358.55930000000001</v>
      </c>
    </row>
    <row r="64" spans="1:12" x14ac:dyDescent="0.2">
      <c r="A64" s="1">
        <v>42979.505185185182</v>
      </c>
      <c r="B64">
        <v>2240.893</v>
      </c>
      <c r="C64">
        <v>20</v>
      </c>
      <c r="D64" t="s">
        <v>36</v>
      </c>
      <c r="E64" t="s">
        <v>33</v>
      </c>
      <c r="F64" t="s">
        <v>3</v>
      </c>
      <c r="G64">
        <v>-10.15898</v>
      </c>
      <c r="H64">
        <v>1.6</v>
      </c>
      <c r="I64">
        <v>-26.842009999999998</v>
      </c>
      <c r="J64">
        <v>6.9980349999999998</v>
      </c>
      <c r="K64">
        <v>96.669910000000002</v>
      </c>
      <c r="L64">
        <v>357.24680000000001</v>
      </c>
    </row>
    <row r="65" spans="1:12" x14ac:dyDescent="0.2">
      <c r="A65" s="1">
        <v>42979.505196759259</v>
      </c>
      <c r="B65">
        <v>2241.9140000000002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1.6</v>
      </c>
      <c r="I65">
        <v>-4.117</v>
      </c>
      <c r="J65">
        <v>8.4650110000000005</v>
      </c>
      <c r="K65">
        <v>99.304569999999998</v>
      </c>
      <c r="L65">
        <v>356.82909999999998</v>
      </c>
    </row>
    <row r="66" spans="1:12" x14ac:dyDescent="0.2">
      <c r="A66" s="1">
        <v>42979.505231481482</v>
      </c>
      <c r="B66">
        <v>2244.7750000000001</v>
      </c>
      <c r="C66">
        <v>21</v>
      </c>
      <c r="D66" t="s">
        <v>35</v>
      </c>
      <c r="E66" t="s">
        <v>0</v>
      </c>
      <c r="F66" t="s">
        <v>1</v>
      </c>
      <c r="G66">
        <v>-0.85</v>
      </c>
      <c r="H66">
        <v>1.6</v>
      </c>
      <c r="I66">
        <v>-4.117</v>
      </c>
      <c r="J66">
        <v>6.2985100000000003</v>
      </c>
      <c r="K66">
        <v>16.608360000000001</v>
      </c>
      <c r="L66">
        <v>359.7081</v>
      </c>
    </row>
    <row r="67" spans="1:12" x14ac:dyDescent="0.2">
      <c r="A67" s="1">
        <v>42979.505624999998</v>
      </c>
      <c r="B67">
        <v>2278.694</v>
      </c>
      <c r="C67">
        <v>21</v>
      </c>
      <c r="D67" t="s">
        <v>36</v>
      </c>
      <c r="E67" t="s">
        <v>0</v>
      </c>
      <c r="F67" t="s">
        <v>1</v>
      </c>
      <c r="G67">
        <v>-20.62182</v>
      </c>
      <c r="H67">
        <v>1.6</v>
      </c>
      <c r="I67">
        <v>-27.277809999999999</v>
      </c>
      <c r="J67">
        <v>8.3199570000000005</v>
      </c>
      <c r="K67">
        <v>139.65880000000001</v>
      </c>
      <c r="L67">
        <v>355.8433</v>
      </c>
    </row>
    <row r="68" spans="1:12" x14ac:dyDescent="0.2">
      <c r="A68" s="1">
        <v>42979.505636574075</v>
      </c>
      <c r="B68">
        <v>2279.7150000000001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1.6</v>
      </c>
      <c r="I68">
        <v>4.1399999999999997</v>
      </c>
      <c r="J68">
        <v>9.1206639999999997</v>
      </c>
      <c r="K68">
        <v>142.46080000000001</v>
      </c>
      <c r="L68">
        <v>357.4991</v>
      </c>
    </row>
    <row r="69" spans="1:12" x14ac:dyDescent="0.2">
      <c r="A69" s="1">
        <v>42979.505682870367</v>
      </c>
      <c r="B69">
        <v>2284.049</v>
      </c>
      <c r="C69">
        <v>22</v>
      </c>
      <c r="D69" t="s">
        <v>35</v>
      </c>
      <c r="E69" t="s">
        <v>1</v>
      </c>
      <c r="F69" t="s">
        <v>5</v>
      </c>
      <c r="G69">
        <v>-4.0789999999999997</v>
      </c>
      <c r="H69">
        <v>1.6</v>
      </c>
      <c r="I69">
        <v>4.1399999999999997</v>
      </c>
      <c r="J69">
        <v>7.2532909999999999</v>
      </c>
      <c r="K69">
        <v>31.41602</v>
      </c>
      <c r="L69">
        <v>359.89519999999999</v>
      </c>
    </row>
    <row r="70" spans="1:12" x14ac:dyDescent="0.2">
      <c r="A70" s="1">
        <v>42979.505949074075</v>
      </c>
      <c r="B70">
        <v>2306.6410000000001</v>
      </c>
      <c r="C70">
        <v>22</v>
      </c>
      <c r="D70" t="s">
        <v>36</v>
      </c>
      <c r="E70" t="s">
        <v>1</v>
      </c>
      <c r="F70" t="s">
        <v>5</v>
      </c>
      <c r="G70">
        <v>8.7469830000000002</v>
      </c>
      <c r="H70">
        <v>1.6</v>
      </c>
      <c r="I70">
        <v>16.131789999999999</v>
      </c>
      <c r="J70">
        <v>9.5631970000000006</v>
      </c>
      <c r="K70">
        <v>337.60070000000002</v>
      </c>
      <c r="L70">
        <v>356.9119</v>
      </c>
    </row>
    <row r="71" spans="1:12" x14ac:dyDescent="0.2">
      <c r="A71" s="1">
        <v>42979.506944444445</v>
      </c>
      <c r="B71">
        <v>2347.0929999999998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1.6</v>
      </c>
      <c r="I71">
        <v>0.09</v>
      </c>
      <c r="J71">
        <v>8.6092650000000006</v>
      </c>
      <c r="K71">
        <v>46.877420000000001</v>
      </c>
      <c r="L71">
        <v>358.17790000000002</v>
      </c>
    </row>
    <row r="72" spans="1:12" x14ac:dyDescent="0.2">
      <c r="A72" s="1">
        <v>42979.506967592592</v>
      </c>
      <c r="B72">
        <v>2348.8330000000001</v>
      </c>
      <c r="C72">
        <v>23</v>
      </c>
      <c r="D72" t="s">
        <v>35</v>
      </c>
      <c r="E72" t="s">
        <v>6</v>
      </c>
      <c r="F72" t="s">
        <v>33</v>
      </c>
      <c r="G72">
        <v>-4.1100000000000003</v>
      </c>
      <c r="H72">
        <v>1.6</v>
      </c>
      <c r="I72">
        <v>0.09</v>
      </c>
      <c r="J72">
        <v>13.6068</v>
      </c>
      <c r="K72">
        <v>2.5726779999999998</v>
      </c>
      <c r="L72">
        <v>357.13639999999998</v>
      </c>
    </row>
    <row r="73" spans="1:12" x14ac:dyDescent="0.2">
      <c r="A73" s="1">
        <v>42979.507326388892</v>
      </c>
      <c r="B73">
        <v>2380.04</v>
      </c>
      <c r="C73">
        <v>23</v>
      </c>
      <c r="D73" t="s">
        <v>36</v>
      </c>
      <c r="E73" t="s">
        <v>6</v>
      </c>
      <c r="F73" t="s">
        <v>33</v>
      </c>
      <c r="G73">
        <v>22.38186</v>
      </c>
      <c r="H73">
        <v>1.6</v>
      </c>
      <c r="I73">
        <v>10.489380000000001</v>
      </c>
      <c r="J73">
        <v>3.606061</v>
      </c>
      <c r="K73">
        <v>358.13869999999997</v>
      </c>
      <c r="L73">
        <v>358.06959999999998</v>
      </c>
    </row>
    <row r="74" spans="1:12" x14ac:dyDescent="0.2">
      <c r="A74" s="1">
        <v>42979.507337962961</v>
      </c>
      <c r="B74">
        <v>2381.0610000000001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1.6</v>
      </c>
      <c r="I74">
        <v>2.7240000000000002</v>
      </c>
      <c r="J74">
        <v>5.5019900000000002</v>
      </c>
      <c r="K74">
        <v>357.42070000000001</v>
      </c>
      <c r="L74">
        <v>358.4427</v>
      </c>
    </row>
    <row r="75" spans="1:12" x14ac:dyDescent="0.2">
      <c r="A75" s="1">
        <v>42979.507349537038</v>
      </c>
      <c r="B75">
        <v>2382.6669999999999</v>
      </c>
      <c r="C75">
        <v>24</v>
      </c>
      <c r="D75" t="s">
        <v>35</v>
      </c>
      <c r="E75" t="s">
        <v>5</v>
      </c>
      <c r="F75" t="s">
        <v>2</v>
      </c>
      <c r="G75">
        <v>1.6E-2</v>
      </c>
      <c r="H75">
        <v>1.6</v>
      </c>
      <c r="I75">
        <v>2.7240000000000002</v>
      </c>
      <c r="J75">
        <v>13.75572</v>
      </c>
      <c r="K75">
        <v>1.0146139999999999</v>
      </c>
      <c r="L75">
        <v>357.34739999999999</v>
      </c>
    </row>
    <row r="76" spans="1:12" x14ac:dyDescent="0.2">
      <c r="A76" s="1">
        <v>42979.507604166669</v>
      </c>
      <c r="B76">
        <v>2403.87</v>
      </c>
      <c r="C76">
        <v>24</v>
      </c>
      <c r="D76" t="s">
        <v>36</v>
      </c>
      <c r="E76" t="s">
        <v>5</v>
      </c>
      <c r="F76" t="s">
        <v>2</v>
      </c>
      <c r="G76">
        <v>-23.806889999999999</v>
      </c>
      <c r="H76">
        <v>1.6</v>
      </c>
      <c r="I76">
        <v>9.8424829999999996</v>
      </c>
      <c r="J76">
        <v>3.237053</v>
      </c>
      <c r="K76">
        <v>193.70529999999999</v>
      </c>
      <c r="L76">
        <v>357.15249999999997</v>
      </c>
    </row>
    <row r="77" spans="1:12" x14ac:dyDescent="0.2">
      <c r="A77" s="1">
        <v>42979.507615740738</v>
      </c>
      <c r="B77">
        <v>2405.058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1.6</v>
      </c>
      <c r="I77">
        <v>4.1399999999999997</v>
      </c>
      <c r="J77">
        <v>4.8389670000000002</v>
      </c>
      <c r="K77">
        <v>192.36760000000001</v>
      </c>
      <c r="L77">
        <v>358.0847</v>
      </c>
    </row>
    <row r="78" spans="1:12" x14ac:dyDescent="0.2">
      <c r="A78" s="1">
        <v>42979.507673611108</v>
      </c>
      <c r="B78">
        <v>2410.0450000000001</v>
      </c>
      <c r="C78">
        <v>25</v>
      </c>
      <c r="D78" t="s">
        <v>35</v>
      </c>
      <c r="E78" t="s">
        <v>1</v>
      </c>
      <c r="F78" t="s">
        <v>5</v>
      </c>
      <c r="G78">
        <v>-4.021515</v>
      </c>
      <c r="H78">
        <v>1.6</v>
      </c>
      <c r="I78">
        <v>4.23482</v>
      </c>
      <c r="J78">
        <v>8.2740969999999994</v>
      </c>
      <c r="K78">
        <v>356.99439999999998</v>
      </c>
      <c r="L78">
        <v>358.60239999999999</v>
      </c>
    </row>
    <row r="79" spans="1:12" x14ac:dyDescent="0.2">
      <c r="A79" s="1">
        <v>42979.507905092592</v>
      </c>
      <c r="B79">
        <v>2430.06</v>
      </c>
      <c r="C79">
        <v>25</v>
      </c>
      <c r="D79" t="s">
        <v>36</v>
      </c>
      <c r="E79" t="s">
        <v>1</v>
      </c>
      <c r="F79" t="s">
        <v>5</v>
      </c>
      <c r="G79">
        <v>-18.484919999999999</v>
      </c>
      <c r="H79">
        <v>1.6</v>
      </c>
      <c r="I79">
        <v>20.801100000000002</v>
      </c>
      <c r="J79">
        <v>3.9430580000000002</v>
      </c>
      <c r="K79">
        <v>224.94730000000001</v>
      </c>
      <c r="L79">
        <v>356.63249999999999</v>
      </c>
    </row>
    <row r="80" spans="1:12" x14ac:dyDescent="0.2">
      <c r="A80" s="1">
        <v>42979.507916666669</v>
      </c>
      <c r="B80">
        <v>2431.1640000000002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1.6</v>
      </c>
      <c r="I80">
        <v>-0.67300000000000004</v>
      </c>
      <c r="J80">
        <v>4.7001400000000002</v>
      </c>
      <c r="K80">
        <v>226.3254</v>
      </c>
      <c r="L80">
        <v>356.96089999999998</v>
      </c>
    </row>
    <row r="81" spans="1:12" x14ac:dyDescent="0.2">
      <c r="A81" s="1">
        <v>42979.507962962962</v>
      </c>
      <c r="B81">
        <v>2435.1559999999999</v>
      </c>
      <c r="C81">
        <v>26</v>
      </c>
      <c r="D81" t="s">
        <v>35</v>
      </c>
      <c r="E81" t="s">
        <v>4</v>
      </c>
      <c r="F81" t="s">
        <v>6</v>
      </c>
      <c r="G81">
        <v>3.8653599999999999</v>
      </c>
      <c r="H81">
        <v>1.6</v>
      </c>
      <c r="I81">
        <v>-0.67306089999999996</v>
      </c>
      <c r="J81">
        <v>16.254100000000001</v>
      </c>
      <c r="K81">
        <v>191.0291</v>
      </c>
      <c r="L81">
        <v>357.1814</v>
      </c>
    </row>
    <row r="82" spans="1:12" x14ac:dyDescent="0.2">
      <c r="A82" s="1">
        <v>42979.508321759262</v>
      </c>
      <c r="B82">
        <v>2465.9119999999998</v>
      </c>
      <c r="C82">
        <v>26</v>
      </c>
      <c r="D82" t="s">
        <v>36</v>
      </c>
      <c r="E82" t="s">
        <v>4</v>
      </c>
      <c r="F82" t="s">
        <v>6</v>
      </c>
      <c r="G82">
        <v>-27.899629999999998</v>
      </c>
      <c r="H82">
        <v>1.6</v>
      </c>
      <c r="I82">
        <v>29.215610000000002</v>
      </c>
      <c r="J82">
        <v>2.3942869999999998</v>
      </c>
      <c r="K82">
        <v>219.6799</v>
      </c>
      <c r="L82">
        <v>357.57029999999997</v>
      </c>
    </row>
    <row r="83" spans="1:12" x14ac:dyDescent="0.2">
      <c r="A83" s="1">
        <v>42979.508333333331</v>
      </c>
      <c r="B83">
        <v>2466.9270000000001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1.6</v>
      </c>
      <c r="I83">
        <v>2.7240000000000002</v>
      </c>
      <c r="J83">
        <v>3.517074</v>
      </c>
      <c r="K83">
        <v>219.61840000000001</v>
      </c>
      <c r="L83">
        <v>358.17450000000002</v>
      </c>
    </row>
    <row r="84" spans="1:12" x14ac:dyDescent="0.2">
      <c r="A84" s="1">
        <v>42979.508368055554</v>
      </c>
      <c r="B84">
        <v>2469.922</v>
      </c>
      <c r="C84">
        <v>27</v>
      </c>
      <c r="D84" t="s">
        <v>35</v>
      </c>
      <c r="E84" t="s">
        <v>5</v>
      </c>
      <c r="F84" t="s">
        <v>2</v>
      </c>
      <c r="G84">
        <v>0.174761</v>
      </c>
      <c r="H84">
        <v>1.6</v>
      </c>
      <c r="I84">
        <v>2.629569</v>
      </c>
      <c r="J84">
        <v>13.846450000000001</v>
      </c>
      <c r="K84">
        <v>9.6871030000000005</v>
      </c>
      <c r="L84">
        <v>359.66829999999999</v>
      </c>
    </row>
    <row r="85" spans="1:12" x14ac:dyDescent="0.2">
      <c r="A85" s="1">
        <v>42979.508692129632</v>
      </c>
      <c r="B85">
        <v>2498.3359999999998</v>
      </c>
      <c r="C85">
        <v>27</v>
      </c>
      <c r="D85" t="s">
        <v>36</v>
      </c>
      <c r="E85" t="s">
        <v>5</v>
      </c>
      <c r="F85" t="s">
        <v>2</v>
      </c>
      <c r="G85">
        <v>3.9460709999999999</v>
      </c>
      <c r="H85">
        <v>1.6</v>
      </c>
      <c r="I85">
        <v>-29.370139999999999</v>
      </c>
      <c r="J85">
        <v>3.580139</v>
      </c>
      <c r="K85">
        <v>54.337179999999996</v>
      </c>
      <c r="L85">
        <v>356.47140000000002</v>
      </c>
    </row>
    <row r="86" spans="1:12" x14ac:dyDescent="0.2">
      <c r="A86" s="1">
        <v>42979.508703703701</v>
      </c>
      <c r="B86">
        <v>2499.3560000000002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1.6</v>
      </c>
      <c r="I86">
        <v>-4.117</v>
      </c>
      <c r="J86">
        <v>5.2695230000000004</v>
      </c>
      <c r="K86">
        <v>58.624609999999997</v>
      </c>
      <c r="L86">
        <v>357.02980000000002</v>
      </c>
    </row>
    <row r="87" spans="1:12" x14ac:dyDescent="0.2">
      <c r="A87" s="1">
        <v>42979.508715277778</v>
      </c>
      <c r="B87">
        <v>2500.6950000000002</v>
      </c>
      <c r="C87">
        <v>28</v>
      </c>
      <c r="D87" t="s">
        <v>35</v>
      </c>
      <c r="E87" t="s">
        <v>0</v>
      </c>
      <c r="F87" t="s">
        <v>1</v>
      </c>
      <c r="G87">
        <v>-0.85</v>
      </c>
      <c r="H87">
        <v>1.6</v>
      </c>
      <c r="I87">
        <v>-4.117</v>
      </c>
      <c r="J87">
        <v>9.6191940000000002</v>
      </c>
      <c r="K87">
        <v>359.0718</v>
      </c>
      <c r="L87">
        <v>356.53840000000002</v>
      </c>
    </row>
    <row r="88" spans="1:12" x14ac:dyDescent="0.2">
      <c r="A88" s="1">
        <v>42979.508993055555</v>
      </c>
      <c r="B88">
        <v>2524.373</v>
      </c>
      <c r="C88">
        <v>28</v>
      </c>
      <c r="D88" t="s">
        <v>36</v>
      </c>
      <c r="E88" t="s">
        <v>0</v>
      </c>
      <c r="F88" t="s">
        <v>1</v>
      </c>
      <c r="G88">
        <v>28.358910000000002</v>
      </c>
      <c r="H88">
        <v>1.6</v>
      </c>
      <c r="I88">
        <v>2.56813</v>
      </c>
      <c r="J88">
        <v>3.7248869999999998</v>
      </c>
      <c r="K88">
        <v>350.19799999999998</v>
      </c>
      <c r="L88">
        <v>355.89</v>
      </c>
    </row>
    <row r="89" spans="1:12" x14ac:dyDescent="0.2">
      <c r="A89" s="1">
        <v>42979.509004629632</v>
      </c>
      <c r="B89">
        <v>2525.3939999999998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1.6</v>
      </c>
      <c r="I89">
        <v>-1.4059999999999999</v>
      </c>
      <c r="J89">
        <v>4.6974470000000004</v>
      </c>
      <c r="K89">
        <v>349.90410000000003</v>
      </c>
      <c r="L89">
        <v>357.43509999999998</v>
      </c>
    </row>
    <row r="90" spans="1:12" x14ac:dyDescent="0.2">
      <c r="A90" s="1">
        <v>42979.509027777778</v>
      </c>
      <c r="B90">
        <v>2526.8989999999999</v>
      </c>
      <c r="C90">
        <v>29</v>
      </c>
      <c r="D90" t="s">
        <v>35</v>
      </c>
      <c r="E90" t="s">
        <v>33</v>
      </c>
      <c r="F90" t="s">
        <v>3</v>
      </c>
      <c r="G90">
        <v>-3.716018</v>
      </c>
      <c r="H90">
        <v>1.6</v>
      </c>
      <c r="I90">
        <v>-1.3590420000000001</v>
      </c>
      <c r="J90">
        <v>29.131699999999999</v>
      </c>
      <c r="K90">
        <v>355.12549999999999</v>
      </c>
      <c r="L90">
        <v>356.62810000000002</v>
      </c>
    </row>
    <row r="91" spans="1:12" x14ac:dyDescent="0.2">
      <c r="A91" s="1">
        <v>42979.509293981479</v>
      </c>
      <c r="B91">
        <v>2549.84</v>
      </c>
      <c r="C91">
        <v>29</v>
      </c>
      <c r="D91" t="s">
        <v>36</v>
      </c>
      <c r="E91" t="s">
        <v>33</v>
      </c>
      <c r="F91" t="s">
        <v>3</v>
      </c>
      <c r="G91">
        <v>-23.300439999999998</v>
      </c>
      <c r="H91">
        <v>1.6</v>
      </c>
      <c r="I91">
        <v>12.95866</v>
      </c>
      <c r="J91">
        <v>4.9168820000000002</v>
      </c>
      <c r="K91">
        <v>210.00909999999999</v>
      </c>
      <c r="L91">
        <v>356.90559999999999</v>
      </c>
    </row>
    <row r="92" spans="1:12" x14ac:dyDescent="0.2">
      <c r="A92" s="1">
        <v>42979.509305555555</v>
      </c>
      <c r="B92">
        <v>2550.8440000000001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1.6</v>
      </c>
      <c r="I92">
        <v>0.09</v>
      </c>
      <c r="J92">
        <v>5.8906619999999998</v>
      </c>
      <c r="K92">
        <v>210.29689999999999</v>
      </c>
      <c r="L92">
        <v>357.10660000000001</v>
      </c>
    </row>
    <row r="93" spans="1:12" x14ac:dyDescent="0.2">
      <c r="A93" s="1">
        <v>42979.509340277778</v>
      </c>
      <c r="B93">
        <v>2554.4920000000002</v>
      </c>
      <c r="C93">
        <v>30</v>
      </c>
      <c r="D93" t="s">
        <v>35</v>
      </c>
      <c r="E93" t="s">
        <v>6</v>
      </c>
      <c r="F93" t="s">
        <v>33</v>
      </c>
      <c r="G93">
        <v>-4.1100000000000003</v>
      </c>
      <c r="H93">
        <v>1.6</v>
      </c>
      <c r="I93">
        <v>0.09</v>
      </c>
      <c r="J93">
        <v>16.668869999999998</v>
      </c>
      <c r="K93">
        <v>356.00580000000002</v>
      </c>
      <c r="L93">
        <v>4.0686109999999998</v>
      </c>
    </row>
    <row r="94" spans="1:12" x14ac:dyDescent="0.2">
      <c r="A94" s="1">
        <v>42979.509791666664</v>
      </c>
      <c r="B94">
        <v>2593.58</v>
      </c>
      <c r="C94">
        <v>30</v>
      </c>
      <c r="D94" t="s">
        <v>36</v>
      </c>
      <c r="E94" t="s">
        <v>6</v>
      </c>
      <c r="F94" t="s">
        <v>33</v>
      </c>
      <c r="G94">
        <v>33.48321</v>
      </c>
      <c r="H94">
        <v>1.6</v>
      </c>
      <c r="I94">
        <v>-35.895940000000003</v>
      </c>
      <c r="J94">
        <v>2.850552</v>
      </c>
      <c r="K94">
        <v>39.379359999999998</v>
      </c>
      <c r="L94">
        <v>357.33769999999998</v>
      </c>
    </row>
    <row r="95" spans="1:12" x14ac:dyDescent="0.2">
      <c r="A95" s="1">
        <v>42979.509814814817</v>
      </c>
      <c r="B95">
        <v>2595.1019999999999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1.6</v>
      </c>
      <c r="I95">
        <v>-4.3440000000000003</v>
      </c>
      <c r="J95">
        <v>4.6107769999999997</v>
      </c>
      <c r="K95">
        <v>39.435749999999999</v>
      </c>
      <c r="L95">
        <v>357.90969999999999</v>
      </c>
    </row>
    <row r="96" spans="1:12" x14ac:dyDescent="0.2">
      <c r="A96" s="1">
        <v>42979.50984953704</v>
      </c>
      <c r="B96">
        <v>2597.8969999999999</v>
      </c>
      <c r="C96">
        <v>31</v>
      </c>
      <c r="D96" t="s">
        <v>35</v>
      </c>
      <c r="E96" t="s">
        <v>2</v>
      </c>
      <c r="F96" t="s">
        <v>0</v>
      </c>
      <c r="G96">
        <v>3.516</v>
      </c>
      <c r="H96">
        <v>1.6</v>
      </c>
      <c r="I96">
        <v>-4.3440000000000003</v>
      </c>
      <c r="J96">
        <v>12.265549999999999</v>
      </c>
      <c r="K96">
        <v>3.2165689999999998</v>
      </c>
      <c r="L96">
        <v>357.47370000000001</v>
      </c>
    </row>
    <row r="97" spans="1:12" x14ac:dyDescent="0.2">
      <c r="A97" s="1">
        <v>42979.510162037041</v>
      </c>
      <c r="B97">
        <v>2625.355</v>
      </c>
      <c r="C97">
        <v>31</v>
      </c>
      <c r="D97" t="s">
        <v>36</v>
      </c>
      <c r="E97" t="s">
        <v>2</v>
      </c>
      <c r="F97" t="s">
        <v>0</v>
      </c>
      <c r="G97">
        <v>-9.0298599999999993</v>
      </c>
      <c r="H97">
        <v>1.6</v>
      </c>
      <c r="I97">
        <v>24.820450000000001</v>
      </c>
      <c r="J97">
        <v>4.0202159999999996</v>
      </c>
      <c r="K97">
        <v>229.6046</v>
      </c>
      <c r="L97">
        <v>358.88350000000003</v>
      </c>
    </row>
    <row r="98" spans="1:12" x14ac:dyDescent="0.2">
      <c r="A98" s="1">
        <v>42979.510185185187</v>
      </c>
      <c r="B98">
        <v>2627.1619999999998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1.6</v>
      </c>
      <c r="I98">
        <v>1.8169999999999999</v>
      </c>
      <c r="J98">
        <v>5.6673980000000004</v>
      </c>
      <c r="K98">
        <v>232.22329999999999</v>
      </c>
      <c r="L98">
        <v>358.32130000000001</v>
      </c>
    </row>
    <row r="99" spans="1:12" x14ac:dyDescent="0.2">
      <c r="A99" s="1">
        <v>42979.510208333333</v>
      </c>
      <c r="B99">
        <v>2629.27</v>
      </c>
      <c r="C99">
        <v>32</v>
      </c>
      <c r="D99" t="s">
        <v>35</v>
      </c>
      <c r="E99" t="s">
        <v>3</v>
      </c>
      <c r="F99" t="s">
        <v>4</v>
      </c>
      <c r="G99">
        <v>3.3730000000000002</v>
      </c>
      <c r="H99">
        <v>1.6</v>
      </c>
      <c r="I99">
        <v>1.8169999999999999</v>
      </c>
      <c r="J99">
        <v>15.881130000000001</v>
      </c>
      <c r="K99">
        <v>273.04360000000003</v>
      </c>
      <c r="L99">
        <v>359.04270000000002</v>
      </c>
    </row>
    <row r="100" spans="1:12" x14ac:dyDescent="0.2">
      <c r="A100" s="1">
        <v>42979.510381944441</v>
      </c>
      <c r="B100">
        <v>2644.4470000000001</v>
      </c>
      <c r="C100">
        <v>32</v>
      </c>
      <c r="D100" t="s">
        <v>36</v>
      </c>
      <c r="E100" t="s">
        <v>3</v>
      </c>
      <c r="F100" t="s">
        <v>4</v>
      </c>
      <c r="G100">
        <v>-9.7863849999999992</v>
      </c>
      <c r="H100">
        <v>1.6</v>
      </c>
      <c r="I100">
        <v>-1.864649</v>
      </c>
      <c r="J100">
        <v>7.5507359999999997</v>
      </c>
      <c r="K100">
        <v>215.48920000000001</v>
      </c>
      <c r="L100">
        <v>355.41449999999998</v>
      </c>
    </row>
    <row r="101" spans="1:12" x14ac:dyDescent="0.2">
      <c r="A101" s="1">
        <v>42979.510405092595</v>
      </c>
      <c r="B101">
        <v>2646.0529999999999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1.6</v>
      </c>
      <c r="I101">
        <v>0.09</v>
      </c>
      <c r="J101">
        <v>9.4434889999999996</v>
      </c>
      <c r="K101">
        <v>214.8023</v>
      </c>
      <c r="L101">
        <v>356.65589999999997</v>
      </c>
    </row>
    <row r="102" spans="1:12" x14ac:dyDescent="0.2">
      <c r="A102" s="1">
        <v>42979.510428240741</v>
      </c>
      <c r="B102">
        <v>2648.02</v>
      </c>
      <c r="C102">
        <v>33</v>
      </c>
      <c r="D102" t="s">
        <v>35</v>
      </c>
      <c r="E102" t="s">
        <v>6</v>
      </c>
      <c r="F102" t="s">
        <v>33</v>
      </c>
      <c r="G102">
        <v>-4.1100000000000003</v>
      </c>
      <c r="H102">
        <v>1.6</v>
      </c>
      <c r="I102">
        <v>0.09</v>
      </c>
      <c r="J102">
        <v>17.79016</v>
      </c>
      <c r="K102">
        <v>339.18819999999999</v>
      </c>
      <c r="L102">
        <v>7.4416060000000002</v>
      </c>
    </row>
    <row r="103" spans="1:12" x14ac:dyDescent="0.2">
      <c r="A103" s="1">
        <v>42979.510694444441</v>
      </c>
      <c r="B103">
        <v>2671.1619999999998</v>
      </c>
      <c r="C103">
        <v>33</v>
      </c>
      <c r="D103" t="s">
        <v>36</v>
      </c>
      <c r="E103" t="s">
        <v>6</v>
      </c>
      <c r="F103" t="s">
        <v>33</v>
      </c>
      <c r="G103">
        <v>-30.03539</v>
      </c>
      <c r="H103">
        <v>1.6</v>
      </c>
      <c r="I103">
        <v>2.3168869999999999</v>
      </c>
      <c r="J103">
        <v>5.2775379999999998</v>
      </c>
      <c r="K103">
        <v>178.21090000000001</v>
      </c>
      <c r="L103">
        <v>357.28149999999999</v>
      </c>
    </row>
    <row r="104" spans="1:12" x14ac:dyDescent="0.2">
      <c r="A104" s="1">
        <v>42979.510706018518</v>
      </c>
      <c r="B104">
        <v>2672.183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1.6</v>
      </c>
      <c r="I104">
        <v>-0.67300000000000004</v>
      </c>
      <c r="J104">
        <v>6.3733050000000002</v>
      </c>
      <c r="K104">
        <v>179.99780000000001</v>
      </c>
      <c r="L104">
        <v>356.92290000000003</v>
      </c>
    </row>
    <row r="105" spans="1:12" x14ac:dyDescent="0.2">
      <c r="A105" s="1">
        <v>42979.510717592595</v>
      </c>
      <c r="B105">
        <v>2673.4540000000002</v>
      </c>
      <c r="C105">
        <v>34</v>
      </c>
      <c r="D105" t="s">
        <v>35</v>
      </c>
      <c r="E105" t="s">
        <v>4</v>
      </c>
      <c r="F105" t="s">
        <v>6</v>
      </c>
      <c r="G105">
        <v>3.7618520000000002</v>
      </c>
      <c r="H105">
        <v>1.6</v>
      </c>
      <c r="I105">
        <v>-0.64820310000000003</v>
      </c>
      <c r="J105">
        <v>23.684229999999999</v>
      </c>
      <c r="K105">
        <v>190.4667</v>
      </c>
      <c r="L105">
        <v>358.2355</v>
      </c>
    </row>
    <row r="106" spans="1:12" x14ac:dyDescent="0.2">
      <c r="A106" s="1">
        <v>42979.511064814818</v>
      </c>
      <c r="B106">
        <v>2702.5540000000001</v>
      </c>
      <c r="C106">
        <v>34</v>
      </c>
      <c r="D106" t="s">
        <v>36</v>
      </c>
      <c r="E106" t="s">
        <v>4</v>
      </c>
      <c r="F106" t="s">
        <v>6</v>
      </c>
      <c r="G106">
        <v>24.474209999999999</v>
      </c>
      <c r="H106">
        <v>1.6</v>
      </c>
      <c r="I106">
        <v>-25.17764</v>
      </c>
      <c r="J106">
        <v>6.0040709999999997</v>
      </c>
      <c r="K106">
        <v>46.778030000000001</v>
      </c>
      <c r="L106">
        <v>356.87700000000001</v>
      </c>
    </row>
    <row r="107" spans="1:12" x14ac:dyDescent="0.2">
      <c r="A107" s="1">
        <v>42979.511076388888</v>
      </c>
      <c r="B107">
        <v>2703.5749999999998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1.6</v>
      </c>
      <c r="I107">
        <v>2.7240000000000002</v>
      </c>
      <c r="J107">
        <v>6.7109629999999996</v>
      </c>
      <c r="K107">
        <v>48.020440000000001</v>
      </c>
      <c r="L107">
        <v>357.77199999999999</v>
      </c>
    </row>
    <row r="108" spans="1:12" x14ac:dyDescent="0.2">
      <c r="A108" s="1">
        <v>42979.511087962965</v>
      </c>
      <c r="B108">
        <v>2704.7460000000001</v>
      </c>
      <c r="C108">
        <v>35</v>
      </c>
      <c r="D108" t="s">
        <v>35</v>
      </c>
      <c r="E108" t="s">
        <v>5</v>
      </c>
      <c r="F108" t="s">
        <v>2</v>
      </c>
      <c r="G108">
        <v>1.6E-2</v>
      </c>
      <c r="H108">
        <v>1.6</v>
      </c>
      <c r="I108">
        <v>2.7240000000000002</v>
      </c>
      <c r="J108">
        <v>9.4061730000000008</v>
      </c>
      <c r="K108">
        <v>5.5535240000000003</v>
      </c>
      <c r="L108">
        <v>357.67610000000002</v>
      </c>
    </row>
    <row r="109" spans="1:12" x14ac:dyDescent="0.2">
      <c r="A109" s="1">
        <v>42979.511099537034</v>
      </c>
      <c r="B109">
        <v>2706.2190000000001</v>
      </c>
      <c r="C109">
        <v>35</v>
      </c>
      <c r="D109" t="s">
        <v>36</v>
      </c>
      <c r="E109" t="s">
        <v>5</v>
      </c>
      <c r="F109" t="s">
        <v>2</v>
      </c>
      <c r="G109">
        <v>1.6E-2</v>
      </c>
      <c r="H109">
        <v>1.6</v>
      </c>
      <c r="I109">
        <v>2.7240000000000002</v>
      </c>
      <c r="J109">
        <v>9.8961520000000007</v>
      </c>
      <c r="K109">
        <v>8.5350490000000008</v>
      </c>
      <c r="L109">
        <v>357.0899</v>
      </c>
    </row>
    <row r="110" spans="1:12" x14ac:dyDescent="0.2">
      <c r="A110" s="1">
        <v>42979.511469907404</v>
      </c>
      <c r="B110">
        <v>2737.6109999999999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1.6</v>
      </c>
      <c r="I110">
        <v>1.8169999999999999</v>
      </c>
      <c r="J110">
        <v>8.126436</v>
      </c>
      <c r="K110">
        <v>50.234400000000001</v>
      </c>
      <c r="L110">
        <v>357.18110000000001</v>
      </c>
    </row>
    <row r="111" spans="1:12" x14ac:dyDescent="0.2">
      <c r="A111" s="1">
        <v>42979.511562500003</v>
      </c>
      <c r="B111">
        <v>2746.261</v>
      </c>
      <c r="C111">
        <v>36</v>
      </c>
      <c r="D111" t="s">
        <v>35</v>
      </c>
      <c r="E111" t="s">
        <v>3</v>
      </c>
      <c r="F111" t="s">
        <v>4</v>
      </c>
      <c r="G111">
        <v>3.3080379999999998</v>
      </c>
      <c r="H111">
        <v>1.6</v>
      </c>
      <c r="I111">
        <v>2.4574050000000001</v>
      </c>
      <c r="J111">
        <v>25.150079999999999</v>
      </c>
      <c r="K111">
        <v>272.57780000000002</v>
      </c>
      <c r="L111">
        <v>359.98649999999998</v>
      </c>
    </row>
    <row r="112" spans="1:12" x14ac:dyDescent="0.2">
      <c r="A112" s="1">
        <v>42979.511712962965</v>
      </c>
      <c r="B112">
        <v>2758.777</v>
      </c>
      <c r="C112">
        <v>36</v>
      </c>
      <c r="D112" t="s">
        <v>36</v>
      </c>
      <c r="E112" t="s">
        <v>3</v>
      </c>
      <c r="F112" t="s">
        <v>4</v>
      </c>
      <c r="G112">
        <v>3.8326069999999999</v>
      </c>
      <c r="H112">
        <v>1.6</v>
      </c>
      <c r="I112">
        <v>13.627420000000001</v>
      </c>
      <c r="J112">
        <v>10.34151</v>
      </c>
      <c r="K112">
        <v>287.30040000000002</v>
      </c>
      <c r="L112">
        <v>357.01170000000002</v>
      </c>
    </row>
    <row r="113" spans="1:12" x14ac:dyDescent="0.2">
      <c r="A113" s="1">
        <v>42979.511724537035</v>
      </c>
      <c r="B113">
        <v>2760.1660000000002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1.6</v>
      </c>
      <c r="I113">
        <v>0.09</v>
      </c>
      <c r="J113">
        <v>11.432969999999999</v>
      </c>
      <c r="K113">
        <v>287.45800000000003</v>
      </c>
      <c r="L113">
        <v>356.2851</v>
      </c>
    </row>
    <row r="114" spans="1:12" x14ac:dyDescent="0.2">
      <c r="A114" s="1">
        <v>42979.51185185185</v>
      </c>
      <c r="B114">
        <v>2770.5230000000001</v>
      </c>
      <c r="C114">
        <v>37</v>
      </c>
      <c r="D114" t="s">
        <v>35</v>
      </c>
      <c r="E114" t="s">
        <v>6</v>
      </c>
      <c r="F114" t="s">
        <v>33</v>
      </c>
      <c r="G114">
        <v>-4.0114999999999998</v>
      </c>
      <c r="H114">
        <v>1.6</v>
      </c>
      <c r="I114">
        <v>3.5416610000000001E-2</v>
      </c>
      <c r="J114">
        <v>15.499510000000001</v>
      </c>
      <c r="K114">
        <v>2.6781600000000001</v>
      </c>
      <c r="L114">
        <v>357.23970000000003</v>
      </c>
    </row>
    <row r="115" spans="1:12" x14ac:dyDescent="0.2">
      <c r="A115" s="1">
        <v>42979.512129629627</v>
      </c>
      <c r="B115">
        <v>2794.819</v>
      </c>
      <c r="C115">
        <v>37</v>
      </c>
      <c r="D115" t="s">
        <v>36</v>
      </c>
      <c r="E115" t="s">
        <v>6</v>
      </c>
      <c r="F115" t="s">
        <v>33</v>
      </c>
      <c r="G115">
        <v>17.811360000000001</v>
      </c>
      <c r="H115">
        <v>1.6</v>
      </c>
      <c r="I115">
        <v>20.19098</v>
      </c>
      <c r="J115">
        <v>359.48099999999999</v>
      </c>
      <c r="K115">
        <v>320.8886</v>
      </c>
      <c r="L115">
        <v>357.45549999999997</v>
      </c>
    </row>
    <row r="116" spans="1:12" x14ac:dyDescent="0.2">
      <c r="A116" s="1">
        <v>42979.512141203704</v>
      </c>
      <c r="B116">
        <v>2795.8229999999999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1.6</v>
      </c>
      <c r="I116">
        <v>-4.3440000000000003</v>
      </c>
      <c r="J116">
        <v>359.70760000000001</v>
      </c>
      <c r="K116">
        <v>321.52379999999999</v>
      </c>
      <c r="L116">
        <v>359.05689999999998</v>
      </c>
    </row>
    <row r="117" spans="1:12" x14ac:dyDescent="0.2">
      <c r="A117" s="1">
        <v>42979.512199074074</v>
      </c>
      <c r="B117">
        <v>2800.96</v>
      </c>
      <c r="C117">
        <v>38</v>
      </c>
      <c r="D117" t="s">
        <v>35</v>
      </c>
      <c r="E117" t="s">
        <v>2</v>
      </c>
      <c r="F117" t="s">
        <v>0</v>
      </c>
      <c r="G117">
        <v>3.516</v>
      </c>
      <c r="H117">
        <v>1.6</v>
      </c>
      <c r="I117">
        <v>-4.3440000000000003</v>
      </c>
      <c r="J117">
        <v>9.6431839999999998</v>
      </c>
      <c r="K117">
        <v>353.93549999999999</v>
      </c>
      <c r="L117">
        <v>359.13569999999999</v>
      </c>
    </row>
    <row r="118" spans="1:12" x14ac:dyDescent="0.2">
      <c r="A118" s="1">
        <v>42979.512557870374</v>
      </c>
      <c r="B118">
        <v>2832.451</v>
      </c>
      <c r="C118">
        <v>38</v>
      </c>
      <c r="D118" t="s">
        <v>36</v>
      </c>
      <c r="E118" t="s">
        <v>2</v>
      </c>
      <c r="F118" t="s">
        <v>0</v>
      </c>
      <c r="G118">
        <v>-29.585419999999999</v>
      </c>
      <c r="H118">
        <v>1.6</v>
      </c>
      <c r="I118">
        <v>-3.7175669999999998</v>
      </c>
      <c r="J118">
        <v>3.4617209999999998</v>
      </c>
      <c r="K118">
        <v>152.89500000000001</v>
      </c>
      <c r="L118">
        <v>357.72649999999999</v>
      </c>
    </row>
    <row r="119" spans="1:12" x14ac:dyDescent="0.2">
      <c r="A119" s="1">
        <v>42979.51258101852</v>
      </c>
      <c r="B119">
        <v>2833.4720000000002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1.6</v>
      </c>
      <c r="I119">
        <v>4.1399999999999997</v>
      </c>
      <c r="J119">
        <v>5.1452439999999999</v>
      </c>
      <c r="K119">
        <v>155.99459999999999</v>
      </c>
      <c r="L119">
        <v>358.07400000000001</v>
      </c>
    </row>
    <row r="120" spans="1:12" x14ac:dyDescent="0.2">
      <c r="A120" s="1">
        <v>42979.512685185182</v>
      </c>
      <c r="B120">
        <v>2842.558</v>
      </c>
      <c r="C120">
        <v>39</v>
      </c>
      <c r="D120" t="s">
        <v>35</v>
      </c>
      <c r="E120" t="s">
        <v>1</v>
      </c>
      <c r="F120" t="s">
        <v>5</v>
      </c>
      <c r="G120">
        <v>-3.8599199999999998</v>
      </c>
      <c r="H120">
        <v>1.6</v>
      </c>
      <c r="I120">
        <v>4.1242890000000001</v>
      </c>
      <c r="J120">
        <v>9.6730300000000007</v>
      </c>
      <c r="K120">
        <v>8.9360479999999995</v>
      </c>
      <c r="L120">
        <v>357.65190000000001</v>
      </c>
    </row>
    <row r="121" spans="1:12" x14ac:dyDescent="0.2">
      <c r="A121" s="1">
        <v>42979.513009259259</v>
      </c>
      <c r="B121">
        <v>2870.6190000000001</v>
      </c>
      <c r="C121">
        <v>39</v>
      </c>
      <c r="D121" t="s">
        <v>36</v>
      </c>
      <c r="E121" t="s">
        <v>1</v>
      </c>
      <c r="F121" t="s">
        <v>5</v>
      </c>
      <c r="G121">
        <v>6.1550549999999999</v>
      </c>
      <c r="H121">
        <v>1.6</v>
      </c>
      <c r="I121">
        <v>-22.441780000000001</v>
      </c>
      <c r="J121">
        <v>4.114865</v>
      </c>
      <c r="K121">
        <v>63.732370000000003</v>
      </c>
      <c r="L121">
        <v>357.8297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-2.7426149999999998</v>
      </c>
      <c r="G2" s="3">
        <f>VLOOKUP($A2,'Summary Data (40)'!$C$2:$L$249,6,1)</f>
        <v>1.6</v>
      </c>
      <c r="H2" s="3">
        <f>VLOOKUP($A2,'Summary Data (40)'!$C$2:$L$249,7,1)</f>
        <v>-26.71716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22.67926858529227</v>
      </c>
      <c r="N2" s="3">
        <f t="shared" ref="N2:N41" si="1">ABS(SQRT((F2-C2)^2+(H2-E2)^2))</f>
        <v>23.232058671237574</v>
      </c>
      <c r="O2" s="3">
        <f t="shared" ref="O2:O41" si="2">ABS(SQRT((J2-C2)^2+(L2-E2)^2))</f>
        <v>4.3718971854333439</v>
      </c>
      <c r="P2" s="3">
        <f t="shared" ref="P2:P41" si="3">(N2-O2)</f>
        <v>18.86016148580423</v>
      </c>
      <c r="Q2" s="5">
        <f t="shared" ref="Q2:Q41" si="4">P2/O2</f>
        <v>4.3139535734381189</v>
      </c>
      <c r="R2" s="3">
        <f t="shared" ref="R2:R41" si="5">ATAN2(J2-C2,L2-E2)*180/PI()</f>
        <v>177.02371934116897</v>
      </c>
      <c r="S2" s="3">
        <f t="shared" ref="S2:S41" si="6">ATAN2(F2-C2,H2-E2)*180/PI()</f>
        <v>-105.62830627965928</v>
      </c>
      <c r="T2" s="3">
        <f t="shared" ref="T2:T41" si="7">IF(ABS(R2-S2)&gt;180,360-ABS(R2-S2),ABS(R2-S2))</f>
        <v>77.347974379171774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8.6851529999999997</v>
      </c>
      <c r="G3" s="3">
        <f>VLOOKUP($A3,'Summary Data (40)'!$C$2:$L$249,6,1)</f>
        <v>1.6</v>
      </c>
      <c r="H3" s="3">
        <f>VLOOKUP($A3,'Summary Data (40)'!$C$2:$L$249,7,1)</f>
        <v>10.853120000000001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16.052183621919138</v>
      </c>
      <c r="N3" s="3">
        <f t="shared" si="1"/>
        <v>11.884309223165181</v>
      </c>
      <c r="O3" s="3">
        <f t="shared" si="2"/>
        <v>7.8871175977032326</v>
      </c>
      <c r="P3" s="3">
        <f t="shared" si="3"/>
        <v>3.997191625461948</v>
      </c>
      <c r="Q3" s="5">
        <f t="shared" si="4"/>
        <v>0.50680005413206342</v>
      </c>
      <c r="R3" s="3">
        <f t="shared" si="5"/>
        <v>-63.65586590726528</v>
      </c>
      <c r="S3" s="3">
        <f t="shared" si="6"/>
        <v>43.15868221115398</v>
      </c>
      <c r="T3" s="3">
        <f t="shared" si="7"/>
        <v>106.81454811841925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-9.8539709999999996</v>
      </c>
      <c r="G4" s="3">
        <f>VLOOKUP($A4,'Summary Data (40)'!$C$2:$L$249,6,1)</f>
        <v>1.6</v>
      </c>
      <c r="H4" s="3">
        <f>VLOOKUP($A4,'Summary Data (40)'!$C$2:$L$249,7,1)</f>
        <v>-0.19407279999999999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13.378982608619417</v>
      </c>
      <c r="N4" s="3">
        <f t="shared" si="1"/>
        <v>5.9967120912163896</v>
      </c>
      <c r="O4" s="3">
        <f t="shared" si="2"/>
        <v>8.0292617967033557</v>
      </c>
      <c r="P4" s="3">
        <f t="shared" si="3"/>
        <v>-2.0325497054869661</v>
      </c>
      <c r="Q4" s="5">
        <f t="shared" si="4"/>
        <v>-0.25314278659110206</v>
      </c>
      <c r="R4" s="3">
        <f t="shared" si="5"/>
        <v>23.666151625811782</v>
      </c>
      <c r="S4" s="3">
        <f t="shared" si="6"/>
        <v>168.34029285864963</v>
      </c>
      <c r="T4" s="3">
        <f t="shared" si="7"/>
        <v>144.67414123283785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-15.79599</v>
      </c>
      <c r="G5" s="3">
        <f>VLOOKUP($A5,'Summary Data (40)'!$C$2:$L$249,6,1)</f>
        <v>1.6</v>
      </c>
      <c r="H5" s="3">
        <f>VLOOKUP($A5,'Summary Data (40)'!$C$2:$L$249,7,1)</f>
        <v>21.587730000000001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21.016925008502078</v>
      </c>
      <c r="N5" s="3">
        <f t="shared" si="1"/>
        <v>29.734084170409552</v>
      </c>
      <c r="O5" s="3">
        <f t="shared" si="2"/>
        <v>8.8659173242253964</v>
      </c>
      <c r="P5" s="3">
        <f t="shared" si="3"/>
        <v>20.868166846184156</v>
      </c>
      <c r="Q5" s="5">
        <f t="shared" si="4"/>
        <v>2.3537515727970519</v>
      </c>
      <c r="R5" s="3">
        <f t="shared" si="5"/>
        <v>111.35858600069317</v>
      </c>
      <c r="S5" s="3">
        <f t="shared" si="6"/>
        <v>120.17581813196209</v>
      </c>
      <c r="T5" s="3">
        <f t="shared" si="7"/>
        <v>8.8172321312689235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-2.9203739999999998</v>
      </c>
      <c r="G6" s="3">
        <f>VLOOKUP($A6,'Summary Data (40)'!$C$2:$L$249,6,1)</f>
        <v>1.6</v>
      </c>
      <c r="H6" s="3">
        <f>VLOOKUP($A6,'Summary Data (40)'!$C$2:$L$249,7,1)</f>
        <v>-22.852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23.209295550789044</v>
      </c>
      <c r="N6" s="3">
        <f t="shared" si="1"/>
        <v>25.45910676563253</v>
      </c>
      <c r="O6" s="3">
        <f t="shared" si="2"/>
        <v>2.5489458605470614</v>
      </c>
      <c r="P6" s="3">
        <f t="shared" si="3"/>
        <v>22.910160905085469</v>
      </c>
      <c r="Q6" s="5">
        <f t="shared" si="4"/>
        <v>8.9880923952493958</v>
      </c>
      <c r="R6" s="3">
        <f t="shared" si="5"/>
        <v>-77.654050540796021</v>
      </c>
      <c r="S6" s="3">
        <f t="shared" si="6"/>
        <v>-104.31161206280036</v>
      </c>
      <c r="T6" s="3">
        <f t="shared" si="7"/>
        <v>26.657561522004343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6.6576719999999998</v>
      </c>
      <c r="G7" s="3">
        <f>VLOOKUP($A7,'Summary Data (40)'!$C$2:$L$249,6,1)</f>
        <v>1.6</v>
      </c>
      <c r="H7" s="3">
        <f>VLOOKUP($A7,'Summary Data (40)'!$C$2:$L$249,7,1)</f>
        <v>15.77622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21.262768889022517</v>
      </c>
      <c r="N7" s="3">
        <f t="shared" si="1"/>
        <v>20.364021110870613</v>
      </c>
      <c r="O7" s="3">
        <f t="shared" si="2"/>
        <v>4.3718971854333439</v>
      </c>
      <c r="P7" s="3">
        <f t="shared" si="3"/>
        <v>15.992123925437269</v>
      </c>
      <c r="Q7" s="5">
        <f t="shared" si="4"/>
        <v>3.6579368743439753</v>
      </c>
      <c r="R7" s="3">
        <f t="shared" si="5"/>
        <v>177.02371934116897</v>
      </c>
      <c r="S7" s="3">
        <f t="shared" si="6"/>
        <v>81.125212934672916</v>
      </c>
      <c r="T7" s="3">
        <f t="shared" si="7"/>
        <v>95.898506406496054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-15.38517</v>
      </c>
      <c r="G8" s="3">
        <f>VLOOKUP($A8,'Summary Data (40)'!$C$2:$L$249,6,1)</f>
        <v>1.6</v>
      </c>
      <c r="H8" s="3">
        <f>VLOOKUP($A8,'Summary Data (40)'!$C$2:$L$249,7,1)</f>
        <v>7.4732430000000001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14.453236649344293</v>
      </c>
      <c r="N8" s="3">
        <f t="shared" si="1"/>
        <v>13.477452864912902</v>
      </c>
      <c r="O8" s="3">
        <f t="shared" si="2"/>
        <v>1.5015515309172709</v>
      </c>
      <c r="P8" s="3">
        <f t="shared" si="3"/>
        <v>11.975901333995632</v>
      </c>
      <c r="Q8" s="5">
        <f t="shared" si="4"/>
        <v>7.9756845418949878</v>
      </c>
      <c r="R8" s="3">
        <f t="shared" si="5"/>
        <v>-85.071579131103505</v>
      </c>
      <c r="S8" s="3">
        <f t="shared" si="6"/>
        <v>146.78229009240698</v>
      </c>
      <c r="T8" s="3">
        <f t="shared" si="7"/>
        <v>128.14613077648951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20.246749999999999</v>
      </c>
      <c r="G9" s="3">
        <f>VLOOKUP($A9,'Summary Data (40)'!$C$2:$L$249,6,1)</f>
        <v>1.6</v>
      </c>
      <c r="H9" s="3">
        <f>VLOOKUP($A9,'Summary Data (40)'!$C$2:$L$249,7,1)</f>
        <v>12.3398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25.670583030046277</v>
      </c>
      <c r="N9" s="3">
        <f t="shared" si="1"/>
        <v>26.756291349933012</v>
      </c>
      <c r="O9" s="3">
        <f t="shared" si="2"/>
        <v>8.8659173242253964</v>
      </c>
      <c r="P9" s="3">
        <f t="shared" si="3"/>
        <v>17.890374025707615</v>
      </c>
      <c r="Q9" s="5">
        <f t="shared" si="4"/>
        <v>2.017881892133556</v>
      </c>
      <c r="R9" s="3">
        <f t="shared" si="5"/>
        <v>111.35858600069317</v>
      </c>
      <c r="S9" s="3">
        <f t="shared" si="6"/>
        <v>37.956485015464551</v>
      </c>
      <c r="T9" s="3">
        <f t="shared" si="7"/>
        <v>73.402100985228614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2.3838879999999998</v>
      </c>
      <c r="G10" s="3">
        <f>VLOOKUP($A10,'Summary Data (40)'!$C$2:$L$249,6,1)</f>
        <v>1.6</v>
      </c>
      <c r="H10" s="3">
        <f>VLOOKUP($A10,'Summary Data (40)'!$C$2:$L$249,7,1)</f>
        <v>11.332179999999999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15.717006616176757</v>
      </c>
      <c r="N10" s="3">
        <f t="shared" si="1"/>
        <v>8.9279144537200832</v>
      </c>
      <c r="O10" s="3">
        <f t="shared" si="2"/>
        <v>7.8871175977032326</v>
      </c>
      <c r="P10" s="3">
        <f t="shared" si="3"/>
        <v>1.0407968560168506</v>
      </c>
      <c r="Q10" s="5">
        <f t="shared" si="4"/>
        <v>0.13196162515947976</v>
      </c>
      <c r="R10" s="3">
        <f t="shared" si="5"/>
        <v>-63.65586590726528</v>
      </c>
      <c r="S10" s="3">
        <f t="shared" si="6"/>
        <v>74.6197977871945</v>
      </c>
      <c r="T10" s="3">
        <f t="shared" si="7"/>
        <v>138.27566369445978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10.58869</v>
      </c>
      <c r="G11" s="3">
        <f>VLOOKUP($A11,'Summary Data (40)'!$C$2:$L$249,6,1)</f>
        <v>1.6</v>
      </c>
      <c r="H11" s="3">
        <f>VLOOKUP($A11,'Summary Data (40)'!$C$2:$L$249,7,1)</f>
        <v>12.1713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19.915294172723133</v>
      </c>
      <c r="N11" s="3">
        <f t="shared" si="1"/>
        <v>19.026541919279499</v>
      </c>
      <c r="O11" s="3">
        <f t="shared" si="2"/>
        <v>1.5015515309172709</v>
      </c>
      <c r="P11" s="3">
        <f t="shared" si="3"/>
        <v>17.524990388362227</v>
      </c>
      <c r="Q11" s="5">
        <f t="shared" si="4"/>
        <v>11.671254717216748</v>
      </c>
      <c r="R11" s="3">
        <f t="shared" si="5"/>
        <v>-85.071579131103505</v>
      </c>
      <c r="S11" s="3">
        <f t="shared" si="6"/>
        <v>39.417824467957651</v>
      </c>
      <c r="T11" s="3">
        <f t="shared" si="7"/>
        <v>124.48940359906115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-16.47214</v>
      </c>
      <c r="G12" s="3">
        <f>VLOOKUP($A12,'Summary Data (40)'!$C$2:$L$249,6,1)</f>
        <v>1.6</v>
      </c>
      <c r="H12" s="3">
        <f>VLOOKUP($A12,'Summary Data (40)'!$C$2:$L$249,7,1)</f>
        <v>17.156279999999999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21.912313128878015</v>
      </c>
      <c r="N12" s="3">
        <f t="shared" si="1"/>
        <v>17.972575332934341</v>
      </c>
      <c r="O12" s="3">
        <f t="shared" si="2"/>
        <v>4.3329067610554466</v>
      </c>
      <c r="P12" s="3">
        <f t="shared" si="3"/>
        <v>13.639668571878893</v>
      </c>
      <c r="Q12" s="5">
        <f t="shared" si="4"/>
        <v>3.1479257053194529</v>
      </c>
      <c r="R12" s="3">
        <f t="shared" si="5"/>
        <v>-19.074748100261683</v>
      </c>
      <c r="S12" s="3">
        <f t="shared" si="6"/>
        <v>133.59516128249041</v>
      </c>
      <c r="T12" s="3">
        <f t="shared" si="7"/>
        <v>152.66990938275208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-14.92399</v>
      </c>
      <c r="G13" s="3">
        <f>VLOOKUP($A13,'Summary Data (40)'!$C$2:$L$249,6,1)</f>
        <v>1.6</v>
      </c>
      <c r="H13" s="3">
        <f>VLOOKUP($A13,'Summary Data (40)'!$C$2:$L$249,7,1)</f>
        <v>14.348470000000001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23.217467063420163</v>
      </c>
      <c r="N13" s="3">
        <f t="shared" si="1"/>
        <v>26.257221214382152</v>
      </c>
      <c r="O13" s="3">
        <f t="shared" si="2"/>
        <v>4.3718971854333439</v>
      </c>
      <c r="P13" s="3">
        <f t="shared" si="3"/>
        <v>21.885324028948808</v>
      </c>
      <c r="Q13" s="5">
        <f t="shared" si="4"/>
        <v>5.0059100433258541</v>
      </c>
      <c r="R13" s="3">
        <f t="shared" si="5"/>
        <v>177.02371934116897</v>
      </c>
      <c r="S13" s="3">
        <f t="shared" si="6"/>
        <v>134.61042668639834</v>
      </c>
      <c r="T13" s="3">
        <f t="shared" si="7"/>
        <v>42.413292654770629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1.191989</v>
      </c>
      <c r="G14" s="3">
        <f>VLOOKUP($A14,'Summary Data (40)'!$C$2:$L$249,6,1)</f>
        <v>1.6</v>
      </c>
      <c r="H14" s="3">
        <f>VLOOKUP($A14,'Summary Data (40)'!$C$2:$L$249,7,1)</f>
        <v>3.2134719999999999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2.589776636875273</v>
      </c>
      <c r="N14" s="3">
        <f t="shared" si="1"/>
        <v>6.9353685376413123</v>
      </c>
      <c r="O14" s="3">
        <f t="shared" si="2"/>
        <v>8.0292617967033557</v>
      </c>
      <c r="P14" s="3">
        <f t="shared" si="3"/>
        <v>-1.0938932590620434</v>
      </c>
      <c r="Q14" s="5">
        <f t="shared" si="4"/>
        <v>-0.13623833507473534</v>
      </c>
      <c r="R14" s="3">
        <f t="shared" si="5"/>
        <v>23.666151625811782</v>
      </c>
      <c r="S14" s="3">
        <f t="shared" si="6"/>
        <v>41.76480953986276</v>
      </c>
      <c r="T14" s="3">
        <f t="shared" si="7"/>
        <v>18.098657914050978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12.41995</v>
      </c>
      <c r="G15" s="3">
        <f>VLOOKUP($A15,'Summary Data (40)'!$C$2:$L$249,6,1)</f>
        <v>1.6</v>
      </c>
      <c r="H15" s="3">
        <f>VLOOKUP($A15,'Summary Data (40)'!$C$2:$L$249,7,1)</f>
        <v>0.90761340000000001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16.563332027921181</v>
      </c>
      <c r="N15" s="3">
        <f t="shared" si="1"/>
        <v>16.550158267350785</v>
      </c>
      <c r="O15" s="3">
        <f t="shared" si="2"/>
        <v>1.5015515309172709</v>
      </c>
      <c r="P15" s="3">
        <f t="shared" si="3"/>
        <v>15.048606736433515</v>
      </c>
      <c r="Q15" s="5">
        <f t="shared" si="4"/>
        <v>10.022038156253346</v>
      </c>
      <c r="R15" s="3">
        <f t="shared" si="5"/>
        <v>-85.071579131103505</v>
      </c>
      <c r="S15" s="3">
        <f t="shared" si="6"/>
        <v>2.8316873100254001</v>
      </c>
      <c r="T15" s="3">
        <f t="shared" si="7"/>
        <v>87.903266441128906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-12.49183</v>
      </c>
      <c r="G16" s="3">
        <f>VLOOKUP($A16,'Summary Data (40)'!$C$2:$L$249,6,1)</f>
        <v>1.6</v>
      </c>
      <c r="H16" s="3">
        <f>VLOOKUP($A16,'Summary Data (40)'!$C$2:$L$249,7,1)</f>
        <v>22.825330000000001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23.675077171527867</v>
      </c>
      <c r="N16" s="3">
        <f t="shared" si="1"/>
        <v>20.491882925143798</v>
      </c>
      <c r="O16" s="3">
        <f t="shared" si="2"/>
        <v>4.3329067610554466</v>
      </c>
      <c r="P16" s="3">
        <f t="shared" si="3"/>
        <v>16.158976164088351</v>
      </c>
      <c r="Q16" s="5">
        <f t="shared" si="4"/>
        <v>3.7293616168542267</v>
      </c>
      <c r="R16" s="3">
        <f t="shared" si="5"/>
        <v>-19.074748100261683</v>
      </c>
      <c r="S16" s="3">
        <f t="shared" si="6"/>
        <v>114.2390445513728</v>
      </c>
      <c r="T16" s="3">
        <f t="shared" si="7"/>
        <v>133.31379265163449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12.13768</v>
      </c>
      <c r="G17" s="3">
        <f>VLOOKUP($A17,'Summary Data (40)'!$C$2:$L$249,6,1)</f>
        <v>1.6</v>
      </c>
      <c r="H17" s="3">
        <f>VLOOKUP($A17,'Summary Data (40)'!$C$2:$L$249,7,1)</f>
        <v>6.2573790000000002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17.378828185813937</v>
      </c>
      <c r="N17" s="3">
        <f t="shared" si="1"/>
        <v>10.751432108609579</v>
      </c>
      <c r="O17" s="3">
        <f t="shared" si="2"/>
        <v>8.0641771433916301</v>
      </c>
      <c r="P17" s="3">
        <f t="shared" si="3"/>
        <v>2.6872549652179494</v>
      </c>
      <c r="Q17" s="5">
        <f t="shared" si="4"/>
        <v>0.33323362290225489</v>
      </c>
      <c r="R17" s="3">
        <f t="shared" si="5"/>
        <v>174.57078263739461</v>
      </c>
      <c r="S17" s="3">
        <f t="shared" si="6"/>
        <v>40.135732333294804</v>
      </c>
      <c r="T17" s="3">
        <f t="shared" si="7"/>
        <v>134.4350503040998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25.241219999999998</v>
      </c>
      <c r="G18" s="3">
        <f>VLOOKUP($A18,'Summary Data (40)'!$C$2:$L$249,6,1)</f>
        <v>1.6</v>
      </c>
      <c r="H18" s="3">
        <f>VLOOKUP($A18,'Summary Data (40)'!$C$2:$L$249,7,1)</f>
        <v>-17.608920000000001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27.2305912057524</v>
      </c>
      <c r="N18" s="3">
        <f t="shared" si="1"/>
        <v>29.250391686519343</v>
      </c>
      <c r="O18" s="3">
        <f t="shared" si="2"/>
        <v>2.5489458605470614</v>
      </c>
      <c r="P18" s="3">
        <f t="shared" si="3"/>
        <v>26.701445825972282</v>
      </c>
      <c r="Q18" s="5">
        <f t="shared" si="4"/>
        <v>10.475485666157518</v>
      </c>
      <c r="R18" s="3">
        <f t="shared" si="5"/>
        <v>-77.654050540796021</v>
      </c>
      <c r="S18" s="3">
        <f t="shared" si="6"/>
        <v>-41.61524223662574</v>
      </c>
      <c r="T18" s="3">
        <f t="shared" si="7"/>
        <v>36.038808304170281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3.3987020000000001</v>
      </c>
      <c r="G19" s="3">
        <f>VLOOKUP($A19,'Summary Data (40)'!$C$2:$L$249,6,1)</f>
        <v>1.6</v>
      </c>
      <c r="H19" s="3">
        <f>VLOOKUP($A19,'Summary Data (40)'!$C$2:$L$249,7,1)</f>
        <v>1.84596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3.8720464924894692E-2</v>
      </c>
      <c r="N19" s="3">
        <f t="shared" si="1"/>
        <v>8.0644432821121637</v>
      </c>
      <c r="O19" s="3">
        <f t="shared" si="2"/>
        <v>8.0292617967033557</v>
      </c>
      <c r="P19" s="3">
        <f t="shared" si="3"/>
        <v>3.5181485408807944E-2</v>
      </c>
      <c r="Q19" s="5">
        <f t="shared" si="4"/>
        <v>4.3816587750635698E-3</v>
      </c>
      <c r="R19" s="3">
        <f t="shared" si="5"/>
        <v>23.666151625811782</v>
      </c>
      <c r="S19" s="3">
        <f t="shared" si="6"/>
        <v>23.781301820023184</v>
      </c>
      <c r="T19" s="3">
        <f t="shared" si="7"/>
        <v>0.11515019421140238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21.612639999999999</v>
      </c>
      <c r="G20" s="3">
        <f>VLOOKUP($A20,'Summary Data (40)'!$C$2:$L$249,6,1)</f>
        <v>1.6</v>
      </c>
      <c r="H20" s="3">
        <f>VLOOKUP($A20,'Summary Data (40)'!$C$2:$L$249,7,1)</f>
        <v>-3.702197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18.108017295673456</v>
      </c>
      <c r="N20" s="3">
        <f t="shared" si="1"/>
        <v>22.532440328832763</v>
      </c>
      <c r="O20" s="3">
        <f t="shared" si="2"/>
        <v>7.8871175977032326</v>
      </c>
      <c r="P20" s="3">
        <f t="shared" si="3"/>
        <v>14.64532273112953</v>
      </c>
      <c r="Q20" s="5">
        <f t="shared" si="4"/>
        <v>1.8568662822263891</v>
      </c>
      <c r="R20" s="3">
        <f t="shared" si="5"/>
        <v>-63.65586590726528</v>
      </c>
      <c r="S20" s="3">
        <f t="shared" si="6"/>
        <v>-16.570658048672158</v>
      </c>
      <c r="T20" s="3">
        <f t="shared" si="7"/>
        <v>47.085207858593122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26.008900000000001</v>
      </c>
      <c r="G21" s="3">
        <f>VLOOKUP($A21,'Summary Data (40)'!$C$2:$L$249,6,1)</f>
        <v>1.6</v>
      </c>
      <c r="H21" s="3">
        <f>VLOOKUP($A21,'Summary Data (40)'!$C$2:$L$249,7,1)</f>
        <v>16.283329999999999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27.848249314434472</v>
      </c>
      <c r="N21" s="3">
        <f t="shared" si="1"/>
        <v>26.863705486751076</v>
      </c>
      <c r="O21" s="3">
        <f t="shared" si="2"/>
        <v>2.5489458605470614</v>
      </c>
      <c r="P21" s="3">
        <f t="shared" si="3"/>
        <v>24.314759626204015</v>
      </c>
      <c r="Q21" s="5">
        <f t="shared" si="4"/>
        <v>9.539143220949196</v>
      </c>
      <c r="R21" s="3">
        <f t="shared" si="5"/>
        <v>-77.654050540796021</v>
      </c>
      <c r="S21" s="3">
        <f t="shared" si="6"/>
        <v>32.582154105463992</v>
      </c>
      <c r="T21" s="3">
        <f t="shared" si="7"/>
        <v>110.23620464626001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-10.15898</v>
      </c>
      <c r="G22" s="3">
        <f>VLOOKUP($A22,'Summary Data (40)'!$C$2:$L$249,6,1)</f>
        <v>1.6</v>
      </c>
      <c r="H22" s="3">
        <f>VLOOKUP($A22,'Summary Data (40)'!$C$2:$L$249,7,1)</f>
        <v>-26.842009999999998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26.175523712057799</v>
      </c>
      <c r="N22" s="3">
        <f t="shared" si="1"/>
        <v>27.602958567524965</v>
      </c>
      <c r="O22" s="3">
        <f t="shared" si="2"/>
        <v>1.5015515309172709</v>
      </c>
      <c r="P22" s="3">
        <f t="shared" si="3"/>
        <v>26.101407036607693</v>
      </c>
      <c r="Q22" s="5">
        <f t="shared" si="4"/>
        <v>17.382957893335043</v>
      </c>
      <c r="R22" s="3">
        <f t="shared" si="5"/>
        <v>-85.071579131103505</v>
      </c>
      <c r="S22" s="3">
        <f t="shared" si="6"/>
        <v>-102.65867002982522</v>
      </c>
      <c r="T22" s="3">
        <f t="shared" si="7"/>
        <v>17.587090898721712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-20.62182</v>
      </c>
      <c r="G23" s="3">
        <f>VLOOKUP($A23,'Summary Data (40)'!$C$2:$L$249,6,1)</f>
        <v>1.6</v>
      </c>
      <c r="H23" s="3">
        <f>VLOOKUP($A23,'Summary Data (40)'!$C$2:$L$249,7,1)</f>
        <v>-27.277809999999999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30.452388838455676</v>
      </c>
      <c r="N23" s="3">
        <f t="shared" si="1"/>
        <v>33.295555190873451</v>
      </c>
      <c r="O23" s="3">
        <f t="shared" si="2"/>
        <v>4.3718971854333439</v>
      </c>
      <c r="P23" s="3">
        <f t="shared" si="3"/>
        <v>28.923658005440107</v>
      </c>
      <c r="Q23" s="5">
        <f t="shared" si="4"/>
        <v>6.6158138626430629</v>
      </c>
      <c r="R23" s="3">
        <f t="shared" si="5"/>
        <v>177.02371934116897</v>
      </c>
      <c r="S23" s="3">
        <f t="shared" si="6"/>
        <v>-136.46520638976921</v>
      </c>
      <c r="T23" s="3">
        <f t="shared" si="7"/>
        <v>46.511074269061851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8.7469830000000002</v>
      </c>
      <c r="G24" s="3">
        <f>VLOOKUP($A24,'Summary Data (40)'!$C$2:$L$249,6,1)</f>
        <v>1.6</v>
      </c>
      <c r="H24" s="3">
        <f>VLOOKUP($A24,'Summary Data (40)'!$C$2:$L$249,7,1)</f>
        <v>16.131789999999999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17.558726244246451</v>
      </c>
      <c r="N24" s="3">
        <f t="shared" si="1"/>
        <v>22.407935629289661</v>
      </c>
      <c r="O24" s="3">
        <f t="shared" si="2"/>
        <v>8.8659173242253964</v>
      </c>
      <c r="P24" s="3">
        <f t="shared" si="3"/>
        <v>13.542018305064264</v>
      </c>
      <c r="Q24" s="5">
        <f t="shared" si="4"/>
        <v>1.5274243837196408</v>
      </c>
      <c r="R24" s="3">
        <f t="shared" si="5"/>
        <v>111.35858600069317</v>
      </c>
      <c r="S24" s="3">
        <f t="shared" si="6"/>
        <v>64.641228104535045</v>
      </c>
      <c r="T24" s="3">
        <f t="shared" si="7"/>
        <v>46.71735789615812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22.38186</v>
      </c>
      <c r="G25" s="3">
        <f>VLOOKUP($A25,'Summary Data (40)'!$C$2:$L$249,6,1)</f>
        <v>1.6</v>
      </c>
      <c r="H25" s="3">
        <f>VLOOKUP($A25,'Summary Data (40)'!$C$2:$L$249,7,1)</f>
        <v>10.489380000000001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28.459897235302872</v>
      </c>
      <c r="N25" s="3">
        <f t="shared" si="1"/>
        <v>21.575746878474451</v>
      </c>
      <c r="O25" s="3">
        <f t="shared" si="2"/>
        <v>8.0641771433916301</v>
      </c>
      <c r="P25" s="3">
        <f t="shared" si="3"/>
        <v>13.511569735082821</v>
      </c>
      <c r="Q25" s="5">
        <f t="shared" si="4"/>
        <v>1.675505075698291</v>
      </c>
      <c r="R25" s="3">
        <f t="shared" si="5"/>
        <v>174.57078263739461</v>
      </c>
      <c r="S25" s="3">
        <f t="shared" si="6"/>
        <v>31.15518133067529</v>
      </c>
      <c r="T25" s="3">
        <f t="shared" si="7"/>
        <v>143.41560130671934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-23.806889999999999</v>
      </c>
      <c r="G26" s="3">
        <f>VLOOKUP($A26,'Summary Data (40)'!$C$2:$L$249,6,1)</f>
        <v>1.6</v>
      </c>
      <c r="H26" s="3">
        <f>VLOOKUP($A26,'Summary Data (40)'!$C$2:$L$249,7,1)</f>
        <v>9.8424829999999996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24.863686134066864</v>
      </c>
      <c r="N26" s="3">
        <f t="shared" si="1"/>
        <v>20.535529119489201</v>
      </c>
      <c r="O26" s="3">
        <f t="shared" si="2"/>
        <v>4.3329067610554466</v>
      </c>
      <c r="P26" s="3">
        <f t="shared" si="3"/>
        <v>16.202622358433754</v>
      </c>
      <c r="Q26" s="5">
        <f t="shared" si="4"/>
        <v>3.7394348071517189</v>
      </c>
      <c r="R26" s="3">
        <f t="shared" si="5"/>
        <v>-19.074748100261683</v>
      </c>
      <c r="S26" s="3">
        <f t="shared" si="6"/>
        <v>163.87769660476658</v>
      </c>
      <c r="T26" s="3">
        <f t="shared" si="7"/>
        <v>177.04755529497174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-18.484919999999999</v>
      </c>
      <c r="G27" s="3">
        <f>VLOOKUP($A27,'Summary Data (40)'!$C$2:$L$249,6,1)</f>
        <v>1.6</v>
      </c>
      <c r="H27" s="3">
        <f>VLOOKUP($A27,'Summary Data (40)'!$C$2:$L$249,7,1)</f>
        <v>20.801100000000002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22.025503042073751</v>
      </c>
      <c r="N27" s="3">
        <f t="shared" si="1"/>
        <v>30.52707177271348</v>
      </c>
      <c r="O27" s="3">
        <f t="shared" si="2"/>
        <v>8.8659173242253964</v>
      </c>
      <c r="P27" s="3">
        <f t="shared" si="3"/>
        <v>21.661154448488084</v>
      </c>
      <c r="Q27" s="5">
        <f t="shared" si="4"/>
        <v>2.4431938237570461</v>
      </c>
      <c r="R27" s="3">
        <f t="shared" si="5"/>
        <v>111.35858600069317</v>
      </c>
      <c r="S27" s="3">
        <f t="shared" si="6"/>
        <v>125.28762577709234</v>
      </c>
      <c r="T27" s="3">
        <f t="shared" si="7"/>
        <v>13.929039776399179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-27.899629999999998</v>
      </c>
      <c r="G28" s="3">
        <f>VLOOKUP($A28,'Summary Data (40)'!$C$2:$L$249,6,1)</f>
        <v>1.6</v>
      </c>
      <c r="H28" s="3">
        <f>VLOOKUP($A28,'Summary Data (40)'!$C$2:$L$249,7,1)</f>
        <v>29.215610000000002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43.654216137149909</v>
      </c>
      <c r="N28" s="3">
        <f t="shared" si="1"/>
        <v>41.577171826003266</v>
      </c>
      <c r="O28" s="3">
        <f t="shared" si="2"/>
        <v>2.5489458605470614</v>
      </c>
      <c r="P28" s="3">
        <f t="shared" si="3"/>
        <v>39.028225965456201</v>
      </c>
      <c r="Q28" s="5">
        <f t="shared" si="4"/>
        <v>15.311516250517718</v>
      </c>
      <c r="R28" s="3">
        <f t="shared" si="5"/>
        <v>-77.654050540796021</v>
      </c>
      <c r="S28" s="3">
        <f t="shared" si="6"/>
        <v>138.77771558481118</v>
      </c>
      <c r="T28" s="3">
        <f t="shared" si="7"/>
        <v>143.5682338743928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3.9460709999999999</v>
      </c>
      <c r="G29" s="3">
        <f>VLOOKUP($A29,'Summary Data (40)'!$C$2:$L$249,6,1)</f>
        <v>1.6</v>
      </c>
      <c r="H29" s="3">
        <f>VLOOKUP($A29,'Summary Data (40)'!$C$2:$L$249,7,1)</f>
        <v>-29.370139999999999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32.333872029261215</v>
      </c>
      <c r="N29" s="3">
        <f t="shared" si="1"/>
        <v>34.457673272794274</v>
      </c>
      <c r="O29" s="3">
        <f t="shared" si="2"/>
        <v>4.3329067610554466</v>
      </c>
      <c r="P29" s="3">
        <f t="shared" si="3"/>
        <v>30.124766511738827</v>
      </c>
      <c r="Q29" s="5">
        <f t="shared" si="4"/>
        <v>6.952553602699906</v>
      </c>
      <c r="R29" s="3">
        <f t="shared" si="5"/>
        <v>-19.074748100261683</v>
      </c>
      <c r="S29" s="3">
        <f t="shared" si="6"/>
        <v>-76.532339842953022</v>
      </c>
      <c r="T29" s="3">
        <f t="shared" si="7"/>
        <v>57.457591742691335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28.358910000000002</v>
      </c>
      <c r="G30" s="3">
        <f>VLOOKUP($A30,'Summary Data (40)'!$C$2:$L$249,6,1)</f>
        <v>1.6</v>
      </c>
      <c r="H30" s="3">
        <f>VLOOKUP($A30,'Summary Data (40)'!$C$2:$L$249,7,1)</f>
        <v>2.56813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29.964168376662819</v>
      </c>
      <c r="N30" s="3">
        <f t="shared" si="1"/>
        <v>25.786580199883041</v>
      </c>
      <c r="O30" s="3">
        <f t="shared" si="2"/>
        <v>4.3718971854333439</v>
      </c>
      <c r="P30" s="3">
        <f t="shared" si="3"/>
        <v>21.414683014449697</v>
      </c>
      <c r="Q30" s="5">
        <f t="shared" si="4"/>
        <v>4.8982586063096232</v>
      </c>
      <c r="R30" s="3">
        <f t="shared" si="5"/>
        <v>177.02371934116897</v>
      </c>
      <c r="S30" s="3">
        <f t="shared" si="6"/>
        <v>15.548349123441245</v>
      </c>
      <c r="T30" s="3">
        <f t="shared" si="7"/>
        <v>161.47537021772771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-23.300439999999998</v>
      </c>
      <c r="G31" s="3">
        <f>VLOOKUP($A31,'Summary Data (40)'!$C$2:$L$249,6,1)</f>
        <v>1.6</v>
      </c>
      <c r="H31" s="3">
        <f>VLOOKUP($A31,'Summary Data (40)'!$C$2:$L$249,7,1)</f>
        <v>12.95866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24.074555423292868</v>
      </c>
      <c r="N31" s="3">
        <f t="shared" si="1"/>
        <v>23.105743822461115</v>
      </c>
      <c r="O31" s="3">
        <f t="shared" si="2"/>
        <v>1.5015515309172709</v>
      </c>
      <c r="P31" s="3">
        <f t="shared" si="3"/>
        <v>21.604192291543843</v>
      </c>
      <c r="Q31" s="5">
        <f t="shared" si="4"/>
        <v>14.387912666804201</v>
      </c>
      <c r="R31" s="3">
        <f t="shared" si="5"/>
        <v>-85.071579131103505</v>
      </c>
      <c r="S31" s="3">
        <f t="shared" si="6"/>
        <v>146.15511961689424</v>
      </c>
      <c r="T31" s="3">
        <f t="shared" si="7"/>
        <v>128.77330125200226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33.48321</v>
      </c>
      <c r="G32" s="3">
        <f>VLOOKUP($A32,'Summary Data (40)'!$C$2:$L$249,6,1)</f>
        <v>1.6</v>
      </c>
      <c r="H32" s="3">
        <f>VLOOKUP($A32,'Summary Data (40)'!$C$2:$L$249,7,1)</f>
        <v>-35.895940000000003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52.040727471737945</v>
      </c>
      <c r="N32" s="3">
        <f t="shared" si="1"/>
        <v>45.986488717749481</v>
      </c>
      <c r="O32" s="3">
        <f t="shared" si="2"/>
        <v>8.0641771433916301</v>
      </c>
      <c r="P32" s="3">
        <f t="shared" si="3"/>
        <v>37.922311574357849</v>
      </c>
      <c r="Q32" s="5">
        <f t="shared" si="4"/>
        <v>4.7025643038402416</v>
      </c>
      <c r="R32" s="3">
        <f t="shared" si="5"/>
        <v>174.57078263739461</v>
      </c>
      <c r="S32" s="3">
        <f t="shared" si="6"/>
        <v>-49.990785849314854</v>
      </c>
      <c r="T32" s="3">
        <f t="shared" si="7"/>
        <v>135.43843151329054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-9.0298599999999993</v>
      </c>
      <c r="G33" s="3">
        <f>VLOOKUP($A33,'Summary Data (40)'!$C$2:$L$249,6,1)</f>
        <v>1.6</v>
      </c>
      <c r="H33" s="3">
        <f>VLOOKUP($A33,'Summary Data (40)'!$C$2:$L$249,7,1)</f>
        <v>24.820450000000001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31.748444795644716</v>
      </c>
      <c r="N33" s="3">
        <f t="shared" si="1"/>
        <v>23.876362489753333</v>
      </c>
      <c r="O33" s="3">
        <f t="shared" si="2"/>
        <v>7.8871175977032326</v>
      </c>
      <c r="P33" s="3">
        <f t="shared" si="3"/>
        <v>15.989244892050101</v>
      </c>
      <c r="Q33" s="5">
        <f t="shared" si="4"/>
        <v>2.0272608711585898</v>
      </c>
      <c r="R33" s="3">
        <f t="shared" si="5"/>
        <v>-63.65586590726528</v>
      </c>
      <c r="S33" s="3">
        <f t="shared" si="6"/>
        <v>112.26324526718184</v>
      </c>
      <c r="T33" s="3">
        <f t="shared" si="7"/>
        <v>175.91911117444712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-9.7863849999999992</v>
      </c>
      <c r="G34" s="3">
        <f>VLOOKUP($A34,'Summary Data (40)'!$C$2:$L$249,6,1)</f>
        <v>1.6</v>
      </c>
      <c r="H34" s="3">
        <f>VLOOKUP($A34,'Summary Data (40)'!$C$2:$L$249,7,1)</f>
        <v>-1.864649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13.664697323300873</v>
      </c>
      <c r="N34" s="3">
        <f t="shared" si="1"/>
        <v>5.8234743841993497</v>
      </c>
      <c r="O34" s="3">
        <f t="shared" si="2"/>
        <v>8.0292617967033557</v>
      </c>
      <c r="P34" s="3">
        <f t="shared" si="3"/>
        <v>-2.205787412504006</v>
      </c>
      <c r="Q34" s="5">
        <f t="shared" si="4"/>
        <v>-0.27471858165213336</v>
      </c>
      <c r="R34" s="3">
        <f t="shared" si="5"/>
        <v>23.666151625811782</v>
      </c>
      <c r="S34" s="3">
        <f t="shared" si="6"/>
        <v>-175.48278333922849</v>
      </c>
      <c r="T34" s="3">
        <f t="shared" si="7"/>
        <v>160.85106503495973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-30.03539</v>
      </c>
      <c r="G35" s="3">
        <f>VLOOKUP($A35,'Summary Data (40)'!$C$2:$L$249,6,1)</f>
        <v>1.6</v>
      </c>
      <c r="H35" s="3">
        <f>VLOOKUP($A35,'Summary Data (40)'!$C$2:$L$249,7,1)</f>
        <v>2.3168869999999999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26.020854566344838</v>
      </c>
      <c r="N35" s="3">
        <f t="shared" si="1"/>
        <v>34.084778373415737</v>
      </c>
      <c r="O35" s="3">
        <f t="shared" si="2"/>
        <v>8.0641771433916301</v>
      </c>
      <c r="P35" s="3">
        <f t="shared" si="3"/>
        <v>26.020601230024106</v>
      </c>
      <c r="Q35" s="5">
        <f t="shared" si="4"/>
        <v>3.2266901839262383</v>
      </c>
      <c r="R35" s="3">
        <f t="shared" si="5"/>
        <v>174.57078263739461</v>
      </c>
      <c r="S35" s="3">
        <f t="shared" si="6"/>
        <v>174.96759635901833</v>
      </c>
      <c r="T35" s="3">
        <f t="shared" si="7"/>
        <v>0.39681372162371531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24.474209999999999</v>
      </c>
      <c r="G36" s="3">
        <f>VLOOKUP($A36,'Summary Data (40)'!$C$2:$L$249,6,1)</f>
        <v>1.6</v>
      </c>
      <c r="H36" s="3">
        <f>VLOOKUP($A36,'Summary Data (40)'!$C$2:$L$249,7,1)</f>
        <v>-25.17764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31.98492068293589</v>
      </c>
      <c r="N36" s="3">
        <f t="shared" si="1"/>
        <v>34.263269724206118</v>
      </c>
      <c r="O36" s="3">
        <f t="shared" si="2"/>
        <v>2.5489458605470614</v>
      </c>
      <c r="P36" s="3">
        <f t="shared" si="3"/>
        <v>31.714323863659057</v>
      </c>
      <c r="Q36" s="5">
        <f t="shared" si="4"/>
        <v>12.442133179263543</v>
      </c>
      <c r="R36" s="3">
        <f t="shared" si="5"/>
        <v>-77.654050540796021</v>
      </c>
      <c r="S36" s="3">
        <f t="shared" si="6"/>
        <v>-51.985919048179355</v>
      </c>
      <c r="T36" s="3">
        <f t="shared" si="7"/>
        <v>25.668131492616666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1.6E-2</v>
      </c>
      <c r="G37" s="3">
        <f>VLOOKUP($A37,'Summary Data (40)'!$C$2:$L$249,6,1)</f>
        <v>1.6</v>
      </c>
      <c r="H37" s="3">
        <f>VLOOKUP($A37,'Summary Data (40)'!$C$2:$L$249,7,1)</f>
        <v>2.7240000000000002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0</v>
      </c>
      <c r="N37" s="3">
        <f t="shared" si="1"/>
        <v>4.3329067610554466</v>
      </c>
      <c r="O37" s="3">
        <f t="shared" si="2"/>
        <v>4.3329067610554466</v>
      </c>
      <c r="P37" s="3">
        <f t="shared" si="3"/>
        <v>0</v>
      </c>
      <c r="Q37" s="5">
        <f t="shared" si="4"/>
        <v>0</v>
      </c>
      <c r="R37" s="3">
        <f t="shared" si="5"/>
        <v>-19.074748100261683</v>
      </c>
      <c r="S37" s="3">
        <f t="shared" si="6"/>
        <v>-19.074748100261683</v>
      </c>
      <c r="T37" s="3">
        <f t="shared" si="7"/>
        <v>0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3.8326069999999999</v>
      </c>
      <c r="G38" s="3">
        <f>VLOOKUP($A38,'Summary Data (40)'!$C$2:$L$249,6,1)</f>
        <v>1.6</v>
      </c>
      <c r="H38" s="3">
        <f>VLOOKUP($A38,'Summary Data (40)'!$C$2:$L$249,7,1)</f>
        <v>13.627420000000001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11.819359507640378</v>
      </c>
      <c r="N38" s="3">
        <f t="shared" si="1"/>
        <v>16.942732106919742</v>
      </c>
      <c r="O38" s="3">
        <f t="shared" si="2"/>
        <v>8.0292617967033557</v>
      </c>
      <c r="P38" s="3">
        <f t="shared" si="3"/>
        <v>8.9134703102163861</v>
      </c>
      <c r="Q38" s="5">
        <f t="shared" si="4"/>
        <v>1.1101232636200837</v>
      </c>
      <c r="R38" s="3">
        <f t="shared" si="5"/>
        <v>23.666151625811782</v>
      </c>
      <c r="S38" s="3">
        <f t="shared" si="6"/>
        <v>62.536883816310862</v>
      </c>
      <c r="T38" s="3">
        <f t="shared" si="7"/>
        <v>38.870732190499083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17.811360000000001</v>
      </c>
      <c r="G39" s="3">
        <f>VLOOKUP($A39,'Summary Data (40)'!$C$2:$L$249,6,1)</f>
        <v>1.6</v>
      </c>
      <c r="H39" s="3">
        <f>VLOOKUP($A39,'Summary Data (40)'!$C$2:$L$249,7,1)</f>
        <v>20.19098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29.742148900340069</v>
      </c>
      <c r="N39" s="3">
        <f t="shared" si="1"/>
        <v>25.066533735839901</v>
      </c>
      <c r="O39" s="3">
        <f t="shared" si="2"/>
        <v>8.0641771433916301</v>
      </c>
      <c r="P39" s="3">
        <f t="shared" si="3"/>
        <v>17.002356592448272</v>
      </c>
      <c r="Q39" s="5">
        <f t="shared" si="4"/>
        <v>2.1083808416065404</v>
      </c>
      <c r="R39" s="3">
        <f t="shared" si="5"/>
        <v>174.57078263739461</v>
      </c>
      <c r="S39" s="3">
        <f t="shared" si="6"/>
        <v>56.34028611797158</v>
      </c>
      <c r="T39" s="3">
        <f t="shared" si="7"/>
        <v>118.23049651942304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-29.585419999999999</v>
      </c>
      <c r="G40" s="3">
        <f>VLOOKUP($A40,'Summary Data (40)'!$C$2:$L$249,6,1)</f>
        <v>1.6</v>
      </c>
      <c r="H40" s="3">
        <f>VLOOKUP($A40,'Summary Data (40)'!$C$2:$L$249,7,1)</f>
        <v>-3.7175669999999998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33.107346984013816</v>
      </c>
      <c r="N40" s="3">
        <f t="shared" si="1"/>
        <v>30.294188410186678</v>
      </c>
      <c r="O40" s="3">
        <f t="shared" si="2"/>
        <v>7.8871175977032326</v>
      </c>
      <c r="P40" s="3">
        <f t="shared" si="3"/>
        <v>22.407070812483447</v>
      </c>
      <c r="Q40" s="5">
        <f t="shared" si="4"/>
        <v>2.8409708026933052</v>
      </c>
      <c r="R40" s="3">
        <f t="shared" si="5"/>
        <v>-63.65586590726528</v>
      </c>
      <c r="S40" s="3">
        <f t="shared" si="6"/>
        <v>-167.72325824135453</v>
      </c>
      <c r="T40" s="3">
        <f t="shared" si="7"/>
        <v>104.06739233408925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6.1550549999999999</v>
      </c>
      <c r="G41" s="3">
        <f>VLOOKUP($A41,'Summary Data (40)'!$C$2:$L$249,6,1)</f>
        <v>1.6</v>
      </c>
      <c r="H41" s="3">
        <f>VLOOKUP($A41,'Summary Data (40)'!$C$2:$L$249,7,1)</f>
        <v>-22.441780000000001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28.483800829794909</v>
      </c>
      <c r="N41" s="3">
        <f t="shared" si="1"/>
        <v>19.61806202460949</v>
      </c>
      <c r="O41" s="3">
        <f t="shared" si="2"/>
        <v>8.8659173242253964</v>
      </c>
      <c r="P41" s="3">
        <f t="shared" si="3"/>
        <v>10.752144700384093</v>
      </c>
      <c r="Q41" s="5">
        <f t="shared" si="4"/>
        <v>1.2127503908709745</v>
      </c>
      <c r="R41" s="3">
        <f t="shared" si="5"/>
        <v>111.35858600069317</v>
      </c>
      <c r="S41" s="3">
        <f t="shared" si="6"/>
        <v>-69.079531619616859</v>
      </c>
      <c r="T41" s="3">
        <f t="shared" si="7"/>
        <v>179.56188237968996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4.7418252081356629</v>
      </c>
      <c r="T42" s="3">
        <f>AVERAGE(T2:T41)</f>
        <v>89.057971902164837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2017-09-13T11:32:19Z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