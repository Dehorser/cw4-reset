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9 JHMW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J18" i="3"/>
  <c r="D4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S13" i="3"/>
  <c r="J13" i="3"/>
  <c r="M13" i="3" s="1"/>
  <c r="J14" i="3"/>
  <c r="E15" i="3"/>
  <c r="L16" i="3"/>
  <c r="L20" i="3"/>
  <c r="J25" i="3"/>
  <c r="C32" i="3"/>
  <c r="E33" i="3"/>
  <c r="J36" i="3"/>
  <c r="R36" i="3" s="1"/>
  <c r="T36" i="3" s="1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N30" i="3" s="1"/>
  <c r="D31" i="3"/>
  <c r="S32" i="3"/>
  <c r="K32" i="3"/>
  <c r="J33" i="3"/>
  <c r="S36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J38" i="3"/>
  <c r="K39" i="3"/>
  <c r="J39" i="3"/>
  <c r="M40" i="3"/>
  <c r="M36" i="3" l="1"/>
  <c r="N20" i="3"/>
  <c r="O13" i="3"/>
  <c r="P13" i="3" s="1"/>
  <c r="Q13" i="3" s="1"/>
  <c r="O5" i="3"/>
  <c r="P5" i="3" s="1"/>
  <c r="Q5" i="3" s="1"/>
  <c r="M23" i="3"/>
  <c r="O17" i="3"/>
  <c r="N32" i="3"/>
  <c r="R4" i="3"/>
  <c r="T4" i="3" s="1"/>
  <c r="O37" i="3"/>
  <c r="O33" i="3"/>
  <c r="M2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P32" i="3" s="1"/>
  <c r="Q32" i="3" s="1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5" i="3" l="1"/>
  <c r="Q15" i="3" s="1"/>
  <c r="T23" i="3"/>
  <c r="T26" i="3"/>
  <c r="T10" i="3"/>
  <c r="P14" i="3"/>
  <c r="Q14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<sst xmlns="http://schemas.openxmlformats.org/spreadsheetml/2006/main" count="394" uniqueCount="37">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</sst>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42970.680601851855</v>
      </c>
      <c r="B2">
        <v>1187.7829999999999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1.735911</v>
      </c>
      <c r="I2">
        <v>-4.117</v>
      </c>
      <c r="J2">
        <v>4.425503</v>
      </c>
      <c r="K2">
        <v>273.2337</v>
      </c>
      <c r="L2">
        <v>348.82470000000001</v>
      </c>
    </row>
    <row r="3" spans="1:12" x14ac:dyDescent="0.2">
      <c r="A3" s="1">
        <v>42970.680868055555</v>
      </c>
      <c r="B3">
        <v>1210.463</v>
      </c>
      <c r="C3">
        <v>0</v>
      </c>
      <c r="D3" t="s">
        <v>35</v>
      </c>
      <c r="E3" t="s">
        <v>0</v>
      </c>
      <c r="F3" t="s">
        <v>1</v>
      </c>
      <c r="G3">
        <v>-0.834372</v>
      </c>
      <c r="H3">
        <v>1.730758</v>
      </c>
      <c r="I3">
        <v>-4.1520919999999997</v>
      </c>
      <c r="J3">
        <v>7.7853880000000002</v>
      </c>
      <c r="K3">
        <v>240.62639999999999</v>
      </c>
      <c r="L3">
        <v>354.7432</v>
      </c>
    </row>
    <row r="4" spans="1:12" x14ac:dyDescent="0.2">
      <c r="A4" s="1">
        <v>42970.681562500002</v>
      </c>
      <c r="B4">
        <v>1270.7550000000001</v>
      </c>
      <c r="C4">
        <v>0</v>
      </c>
      <c r="D4" t="s">
        <v>36</v>
      </c>
      <c r="E4" t="s">
        <v>0</v>
      </c>
      <c r="F4" t="s">
        <v>1</v>
      </c>
      <c r="G4">
        <v>-1.8154399999999999</v>
      </c>
      <c r="H4">
        <v>1.7368319999999999</v>
      </c>
      <c r="I4">
        <v>1.210421</v>
      </c>
      <c r="J4">
        <v>6.3775110000000002</v>
      </c>
      <c r="K4">
        <v>124.06910000000001</v>
      </c>
      <c r="L4">
        <v>357.154</v>
      </c>
    </row>
    <row r="5" spans="1:12" x14ac:dyDescent="0.2">
      <c r="A5" s="1">
        <v>42970.681886574072</v>
      </c>
      <c r="B5">
        <v>1298.6590000000001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1.7330650000000001</v>
      </c>
      <c r="I5">
        <v>-4.3440000000000003</v>
      </c>
      <c r="J5">
        <v>2.1321439999999998</v>
      </c>
      <c r="K5">
        <v>99.611350000000002</v>
      </c>
      <c r="L5">
        <v>358.9289</v>
      </c>
    </row>
    <row r="6" spans="1:12" x14ac:dyDescent="0.2">
      <c r="A6" s="1">
        <v>42970.681967592594</v>
      </c>
      <c r="B6">
        <v>1305.354</v>
      </c>
      <c r="C6">
        <v>1</v>
      </c>
      <c r="D6" t="s">
        <v>35</v>
      </c>
      <c r="E6" t="s">
        <v>2</v>
      </c>
      <c r="F6" t="s">
        <v>0</v>
      </c>
      <c r="G6">
        <v>3.5208870000000001</v>
      </c>
      <c r="H6">
        <v>1.7336279999999999</v>
      </c>
      <c r="I6">
        <v>-4.3458579999999998</v>
      </c>
      <c r="J6">
        <v>6.7308820000000003</v>
      </c>
      <c r="K6">
        <v>143.8092</v>
      </c>
      <c r="L6">
        <v>357.97250000000003</v>
      </c>
    </row>
    <row r="7" spans="1:12" x14ac:dyDescent="0.2">
      <c r="A7" s="1">
        <v>42970.682500000003</v>
      </c>
      <c r="B7">
        <v>1351.345</v>
      </c>
      <c r="C7">
        <v>1</v>
      </c>
      <c r="D7" t="s">
        <v>36</v>
      </c>
      <c r="E7" t="s">
        <v>2</v>
      </c>
      <c r="F7" t="s">
        <v>0</v>
      </c>
      <c r="G7">
        <v>0.36552190000000001</v>
      </c>
      <c r="H7">
        <v>1.7403930000000001</v>
      </c>
      <c r="I7">
        <v>-1.4803219999999999</v>
      </c>
      <c r="J7">
        <v>8.7705310000000001</v>
      </c>
      <c r="K7">
        <v>269.089</v>
      </c>
      <c r="L7">
        <v>355.56020000000001</v>
      </c>
    </row>
    <row r="8" spans="1:12" x14ac:dyDescent="0.2">
      <c r="A8" s="1">
        <v>42970.682569444441</v>
      </c>
      <c r="B8">
        <v>1357.27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1.7482549999999999</v>
      </c>
      <c r="I8">
        <v>1.8169999999999999</v>
      </c>
      <c r="J8">
        <v>3.1451609999999999</v>
      </c>
      <c r="K8">
        <v>272.30549999999999</v>
      </c>
      <c r="L8">
        <v>357.9153</v>
      </c>
    </row>
    <row r="9" spans="1:12" x14ac:dyDescent="0.2">
      <c r="A9" s="1">
        <v>42970.682627314818</v>
      </c>
      <c r="B9">
        <v>1362.124</v>
      </c>
      <c r="C9">
        <v>2</v>
      </c>
      <c r="D9" t="s">
        <v>35</v>
      </c>
      <c r="E9" t="s">
        <v>3</v>
      </c>
      <c r="F9" t="s">
        <v>4</v>
      </c>
      <c r="G9">
        <v>3.329777</v>
      </c>
      <c r="H9">
        <v>1.7233160000000001</v>
      </c>
      <c r="I9">
        <v>1.8692439999999999</v>
      </c>
      <c r="J9">
        <v>13.70087</v>
      </c>
      <c r="K9">
        <v>261.51929999999999</v>
      </c>
      <c r="L9">
        <v>354.63600000000002</v>
      </c>
    </row>
    <row r="10" spans="1:12" x14ac:dyDescent="0.2">
      <c r="A10" s="1">
        <v>42970.682962962965</v>
      </c>
      <c r="B10">
        <v>1391.8679999999999</v>
      </c>
      <c r="C10">
        <v>2</v>
      </c>
      <c r="D10" t="s">
        <v>36</v>
      </c>
      <c r="E10" t="s">
        <v>3</v>
      </c>
      <c r="F10" t="s">
        <v>4</v>
      </c>
      <c r="G10">
        <v>3.4652729999999998</v>
      </c>
      <c r="H10">
        <v>1.740553</v>
      </c>
      <c r="I10">
        <v>-3.7636020000000001</v>
      </c>
      <c r="J10">
        <v>7.3567939999999998</v>
      </c>
      <c r="K10">
        <v>316.3306</v>
      </c>
      <c r="L10">
        <v>357.6164</v>
      </c>
    </row>
    <row r="11" spans="1:12" x14ac:dyDescent="0.2">
      <c r="A11" s="1">
        <v>42970.682986111111</v>
      </c>
      <c r="B11">
        <v>1393.24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1.743128</v>
      </c>
      <c r="I11">
        <v>4.1399999999999997</v>
      </c>
      <c r="J11">
        <v>6.9064519999999998</v>
      </c>
      <c r="K11">
        <v>316.51339999999999</v>
      </c>
      <c r="L11">
        <v>357.51909999999998</v>
      </c>
    </row>
    <row r="12" spans="1:12" x14ac:dyDescent="0.2">
      <c r="A12" s="1">
        <v>42970.683032407411</v>
      </c>
      <c r="B12">
        <v>1397.7929999999999</v>
      </c>
      <c r="C12">
        <v>3</v>
      </c>
      <c r="D12" t="s">
        <v>35</v>
      </c>
      <c r="E12" t="s">
        <v>1</v>
      </c>
      <c r="F12" t="s">
        <v>5</v>
      </c>
      <c r="G12">
        <v>-4.1287390000000004</v>
      </c>
      <c r="H12">
        <v>1.74312</v>
      </c>
      <c r="I12">
        <v>4.1701980000000001</v>
      </c>
      <c r="J12">
        <v>10.47958</v>
      </c>
      <c r="K12">
        <v>343.9196</v>
      </c>
      <c r="L12">
        <v>355.72379999999998</v>
      </c>
    </row>
    <row r="13" spans="1:12" x14ac:dyDescent="0.2">
      <c r="A13" s="1">
        <v>42970.683437500003</v>
      </c>
      <c r="B13">
        <v>1432.0709999999999</v>
      </c>
      <c r="C13">
        <v>3</v>
      </c>
      <c r="D13" t="s">
        <v>36</v>
      </c>
      <c r="E13" t="s">
        <v>1</v>
      </c>
      <c r="F13" t="s">
        <v>5</v>
      </c>
      <c r="G13">
        <v>-8.761476</v>
      </c>
      <c r="H13">
        <v>1.739692</v>
      </c>
      <c r="I13">
        <v>4.3503090000000002</v>
      </c>
      <c r="J13">
        <v>7.0195299999999996</v>
      </c>
      <c r="K13">
        <v>216.57060000000001</v>
      </c>
      <c r="L13">
        <v>358.06950000000001</v>
      </c>
    </row>
    <row r="14" spans="1:12" x14ac:dyDescent="0.2">
      <c r="A14" s="1">
        <v>42970.683449074073</v>
      </c>
      <c r="B14">
        <v>1433.578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1.738356</v>
      </c>
      <c r="I14">
        <v>-0.67300000000000004</v>
      </c>
      <c r="J14">
        <v>6.7634720000000002</v>
      </c>
      <c r="K14">
        <v>216.32509999999999</v>
      </c>
      <c r="L14">
        <v>358.97640000000001</v>
      </c>
    </row>
    <row r="15" spans="1:12" x14ac:dyDescent="0.2">
      <c r="A15" s="1">
        <v>42970.683495370373</v>
      </c>
      <c r="B15">
        <v>1437.4269999999999</v>
      </c>
      <c r="C15">
        <v>4</v>
      </c>
      <c r="D15" t="s">
        <v>35</v>
      </c>
      <c r="E15" t="s">
        <v>4</v>
      </c>
      <c r="F15" t="s">
        <v>6</v>
      </c>
      <c r="G15">
        <v>3.8935230000000001</v>
      </c>
      <c r="H15">
        <v>1.7287300000000001</v>
      </c>
      <c r="I15">
        <v>-0.66704050000000004</v>
      </c>
      <c r="J15">
        <v>9.4015000000000004</v>
      </c>
      <c r="K15">
        <v>218.8792</v>
      </c>
      <c r="L15">
        <v>358.90910000000002</v>
      </c>
    </row>
    <row r="16" spans="1:12" x14ac:dyDescent="0.2">
      <c r="A16" s="1">
        <v>42970.683796296296</v>
      </c>
      <c r="B16">
        <v>1464.0409999999999</v>
      </c>
      <c r="C16">
        <v>4</v>
      </c>
      <c r="D16" t="s">
        <v>36</v>
      </c>
      <c r="E16" t="s">
        <v>4</v>
      </c>
      <c r="F16" t="s">
        <v>6</v>
      </c>
      <c r="G16">
        <v>8.9737019999999994</v>
      </c>
      <c r="H16">
        <v>1.750202</v>
      </c>
      <c r="I16">
        <v>-4.2693219999999998</v>
      </c>
      <c r="J16">
        <v>9.881888</v>
      </c>
      <c r="K16">
        <v>298.90089999999998</v>
      </c>
      <c r="L16">
        <v>358.09010000000001</v>
      </c>
    </row>
    <row r="17" spans="1:12" x14ac:dyDescent="0.2">
      <c r="A17" s="1">
        <v>42970.683819444443</v>
      </c>
      <c r="B17">
        <v>1465.162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1.75048</v>
      </c>
      <c r="I17">
        <v>-4.117</v>
      </c>
      <c r="J17">
        <v>8.7301649999999995</v>
      </c>
      <c r="K17">
        <v>298.52159999999998</v>
      </c>
      <c r="L17">
        <v>358.12630000000001</v>
      </c>
    </row>
    <row r="18" spans="1:12" x14ac:dyDescent="0.2">
      <c r="A18" s="1">
        <v>42970.683854166666</v>
      </c>
      <c r="B18">
        <v>1468.4590000000001</v>
      </c>
      <c r="C18">
        <v>5</v>
      </c>
      <c r="D18" t="s">
        <v>35</v>
      </c>
      <c r="E18" t="s">
        <v>0</v>
      </c>
      <c r="F18" t="s">
        <v>1</v>
      </c>
      <c r="G18">
        <v>-0.82360960000000005</v>
      </c>
      <c r="H18">
        <v>1.7336609999999999</v>
      </c>
      <c r="I18">
        <v>-4.1205499999999997</v>
      </c>
      <c r="J18">
        <v>15.50249</v>
      </c>
      <c r="K18">
        <v>297.27339999999998</v>
      </c>
      <c r="L18">
        <v>356.71460000000002</v>
      </c>
    </row>
    <row r="19" spans="1:12" x14ac:dyDescent="0.2">
      <c r="A19" s="1">
        <v>42970.684317129628</v>
      </c>
      <c r="B19">
        <v>1508.883</v>
      </c>
      <c r="C19">
        <v>5</v>
      </c>
      <c r="D19" t="s">
        <v>36</v>
      </c>
      <c r="E19" t="s">
        <v>0</v>
      </c>
      <c r="F19" t="s">
        <v>1</v>
      </c>
      <c r="G19">
        <v>-6.7685639999999996</v>
      </c>
      <c r="H19">
        <v>1.732186</v>
      </c>
      <c r="I19">
        <v>-8.5338379999999994</v>
      </c>
      <c r="J19">
        <v>9.6712469999999993</v>
      </c>
      <c r="K19">
        <v>39.273650000000004</v>
      </c>
      <c r="L19">
        <v>359.01280000000003</v>
      </c>
    </row>
    <row r="20" spans="1:12" x14ac:dyDescent="0.2">
      <c r="A20" s="1">
        <v>42970.684340277781</v>
      </c>
      <c r="B20">
        <v>1510.54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1.7306010000000001</v>
      </c>
      <c r="I20">
        <v>-1.4059999999999999</v>
      </c>
      <c r="J20">
        <v>8.8247769999999992</v>
      </c>
      <c r="K20">
        <v>37.27111</v>
      </c>
      <c r="L20">
        <v>359.49189999999999</v>
      </c>
    </row>
    <row r="21" spans="1:12" x14ac:dyDescent="0.2">
      <c r="A21" s="1">
        <v>42970.684421296297</v>
      </c>
      <c r="B21">
        <v>1517.068</v>
      </c>
      <c r="C21">
        <v>6</v>
      </c>
      <c r="D21" t="s">
        <v>35</v>
      </c>
      <c r="E21" t="s">
        <v>33</v>
      </c>
      <c r="F21" t="s">
        <v>3</v>
      </c>
      <c r="G21">
        <v>-3.956051</v>
      </c>
      <c r="H21">
        <v>1.7248049999999999</v>
      </c>
      <c r="I21">
        <v>-1.379203</v>
      </c>
      <c r="J21">
        <v>11.84416</v>
      </c>
      <c r="K21">
        <v>313.4427</v>
      </c>
      <c r="L21">
        <v>0.37323129999999999</v>
      </c>
    </row>
    <row r="22" spans="1:12" x14ac:dyDescent="0.2">
      <c r="A22" s="1">
        <v>42970.684664351851</v>
      </c>
      <c r="B22">
        <v>1538.4079999999999</v>
      </c>
      <c r="C22">
        <v>6</v>
      </c>
      <c r="D22" t="s">
        <v>36</v>
      </c>
      <c r="E22" t="s">
        <v>33</v>
      </c>
      <c r="F22" t="s">
        <v>3</v>
      </c>
      <c r="G22">
        <v>-0.54216149999999996</v>
      </c>
      <c r="H22">
        <v>1.73333</v>
      </c>
      <c r="I22">
        <v>0.40826960000000001</v>
      </c>
      <c r="J22">
        <v>7.3832120000000003</v>
      </c>
      <c r="K22">
        <v>34.966589999999997</v>
      </c>
      <c r="L22">
        <v>358.28579999999999</v>
      </c>
    </row>
    <row r="23" spans="1:12" x14ac:dyDescent="0.2">
      <c r="A23" s="1">
        <v>42970.684687499997</v>
      </c>
      <c r="B23">
        <v>1540.5340000000001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1.7375389999999999</v>
      </c>
      <c r="I23">
        <v>4.1399999999999997</v>
      </c>
      <c r="J23">
        <v>5.9582360000000003</v>
      </c>
      <c r="K23">
        <v>32.901670000000003</v>
      </c>
      <c r="L23">
        <v>359.44889999999998</v>
      </c>
    </row>
    <row r="24" spans="1:12" x14ac:dyDescent="0.2">
      <c r="A24" s="1">
        <v>42970.68472222222</v>
      </c>
      <c r="B24">
        <v>1543.9649999999999</v>
      </c>
      <c r="C24">
        <v>7</v>
      </c>
      <c r="D24" t="s">
        <v>35</v>
      </c>
      <c r="E24" t="s">
        <v>1</v>
      </c>
      <c r="F24" t="s">
        <v>5</v>
      </c>
      <c r="G24">
        <v>-4.1011649999999999</v>
      </c>
      <c r="H24">
        <v>1.7341530000000001</v>
      </c>
      <c r="I24">
        <v>4.1382250000000003</v>
      </c>
      <c r="J24">
        <v>3.953716</v>
      </c>
      <c r="K24">
        <v>68.779510000000002</v>
      </c>
      <c r="L24">
        <v>356.40699999999998</v>
      </c>
    </row>
    <row r="25" spans="1:12" x14ac:dyDescent="0.2">
      <c r="A25" s="1">
        <v>42970.685011574074</v>
      </c>
      <c r="B25">
        <v>1568.4179999999999</v>
      </c>
      <c r="C25">
        <v>7</v>
      </c>
      <c r="D25" t="s">
        <v>36</v>
      </c>
      <c r="E25" t="s">
        <v>1</v>
      </c>
      <c r="F25" t="s">
        <v>5</v>
      </c>
      <c r="G25">
        <v>-8.1084980000000009</v>
      </c>
      <c r="H25">
        <v>1.74533</v>
      </c>
      <c r="I25">
        <v>4.8436440000000003</v>
      </c>
      <c r="J25">
        <v>2.0847720000000001</v>
      </c>
      <c r="K25">
        <v>93.049340000000001</v>
      </c>
      <c r="L25">
        <v>358.7989</v>
      </c>
    </row>
    <row r="26" spans="1:12" x14ac:dyDescent="0.2">
      <c r="A26" s="1">
        <v>42970.685023148151</v>
      </c>
      <c r="B26">
        <v>1569.807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1.745295</v>
      </c>
      <c r="I26">
        <v>-4.3440000000000003</v>
      </c>
      <c r="J26">
        <v>1.1368469999999999</v>
      </c>
      <c r="K26">
        <v>93.072800000000001</v>
      </c>
      <c r="L26">
        <v>358.89069999999998</v>
      </c>
    </row>
    <row r="27" spans="1:12" x14ac:dyDescent="0.2">
      <c r="A27" s="1">
        <v>42970.685081018521</v>
      </c>
      <c r="B27">
        <v>1574.961</v>
      </c>
      <c r="C27">
        <v>8</v>
      </c>
      <c r="D27" t="s">
        <v>35</v>
      </c>
      <c r="E27" t="s">
        <v>2</v>
      </c>
      <c r="F27" t="s">
        <v>0</v>
      </c>
      <c r="G27">
        <v>3.5390700000000002</v>
      </c>
      <c r="H27">
        <v>1.726618</v>
      </c>
      <c r="I27">
        <v>-4.3530340000000001</v>
      </c>
      <c r="J27">
        <v>10.387549999999999</v>
      </c>
      <c r="K27">
        <v>276.26139999999998</v>
      </c>
      <c r="L27">
        <v>0.53872279999999995</v>
      </c>
    </row>
    <row r="28" spans="1:12" x14ac:dyDescent="0.2">
      <c r="A28" s="1">
        <v>42970.685358796298</v>
      </c>
      <c r="B28">
        <v>1598.761</v>
      </c>
      <c r="C28">
        <v>8</v>
      </c>
      <c r="D28" t="s">
        <v>36</v>
      </c>
      <c r="E28" t="s">
        <v>2</v>
      </c>
      <c r="F28" t="s">
        <v>0</v>
      </c>
      <c r="G28">
        <v>3.1811780000000001</v>
      </c>
      <c r="H28">
        <v>1.750067</v>
      </c>
      <c r="I28">
        <v>-8.5096919999999994</v>
      </c>
      <c r="J28">
        <v>4.1587290000000001</v>
      </c>
      <c r="K28">
        <v>201.3347</v>
      </c>
      <c r="L28">
        <v>357.11669999999998</v>
      </c>
    </row>
    <row r="29" spans="1:12" x14ac:dyDescent="0.2">
      <c r="A29" s="1">
        <v>42970.685381944444</v>
      </c>
      <c r="B29">
        <v>1600.134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1.747717</v>
      </c>
      <c r="I29">
        <v>-1.4059999999999999</v>
      </c>
      <c r="J29">
        <v>3.5872419999999998</v>
      </c>
      <c r="K29">
        <v>199.24039999999999</v>
      </c>
      <c r="L29">
        <v>358.77350000000001</v>
      </c>
    </row>
    <row r="30" spans="1:12" x14ac:dyDescent="0.2">
      <c r="A30" s="1">
        <v>42970.685416666667</v>
      </c>
      <c r="B30">
        <v>1603.4639999999999</v>
      </c>
      <c r="C30">
        <v>9</v>
      </c>
      <c r="D30" t="s">
        <v>35</v>
      </c>
      <c r="E30" t="s">
        <v>33</v>
      </c>
      <c r="F30" t="s">
        <v>3</v>
      </c>
      <c r="G30">
        <v>-4.055231</v>
      </c>
      <c r="H30">
        <v>1.7407269999999999</v>
      </c>
      <c r="I30">
        <v>-1.3852739999999999</v>
      </c>
      <c r="J30">
        <v>10.86138</v>
      </c>
      <c r="K30">
        <v>238.23089999999999</v>
      </c>
      <c r="L30">
        <v>356.7054</v>
      </c>
    </row>
    <row r="31" spans="1:12" x14ac:dyDescent="0.2">
      <c r="A31" s="1">
        <v>42970.685763888891</v>
      </c>
      <c r="B31">
        <v>1633.6759999999999</v>
      </c>
      <c r="C31">
        <v>9</v>
      </c>
      <c r="D31" t="s">
        <v>36</v>
      </c>
      <c r="E31" t="s">
        <v>33</v>
      </c>
      <c r="F31" t="s">
        <v>3</v>
      </c>
      <c r="G31">
        <v>0.1487446</v>
      </c>
      <c r="H31">
        <v>1.7353510000000001</v>
      </c>
      <c r="I31">
        <v>-5.1295909999999996</v>
      </c>
      <c r="J31">
        <v>6.9122199999999996</v>
      </c>
      <c r="K31">
        <v>352.02879999999999</v>
      </c>
      <c r="L31">
        <v>357.26679999999999</v>
      </c>
    </row>
    <row r="32" spans="1:12" x14ac:dyDescent="0.2">
      <c r="A32" s="1">
        <v>42970.685787037037</v>
      </c>
      <c r="B32">
        <v>1635.367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1.735279</v>
      </c>
      <c r="I32">
        <v>2.7240000000000002</v>
      </c>
      <c r="J32">
        <v>5.6148930000000004</v>
      </c>
      <c r="K32">
        <v>352.08949999999999</v>
      </c>
      <c r="L32">
        <v>357.61680000000001</v>
      </c>
    </row>
    <row r="33" spans="1:12" x14ac:dyDescent="0.2">
      <c r="A33" s="1">
        <v>42970.685833333337</v>
      </c>
      <c r="B33">
        <v>1639.066</v>
      </c>
      <c r="C33">
        <v>10</v>
      </c>
      <c r="D33" t="s">
        <v>35</v>
      </c>
      <c r="E33" t="s">
        <v>5</v>
      </c>
      <c r="F33" t="s">
        <v>2</v>
      </c>
      <c r="G33">
        <v>-3.6214370000000003E-2</v>
      </c>
      <c r="H33">
        <v>1.719708</v>
      </c>
      <c r="I33">
        <v>2.6647910000000001</v>
      </c>
      <c r="J33">
        <v>15.690709999999999</v>
      </c>
      <c r="K33">
        <v>24.175160000000002</v>
      </c>
      <c r="L33">
        <v>358.10789999999997</v>
      </c>
    </row>
    <row r="34" spans="1:12" x14ac:dyDescent="0.2">
      <c r="A34" s="1">
        <v>42970.686273148145</v>
      </c>
      <c r="B34">
        <v>1677.1079999999999</v>
      </c>
      <c r="C34">
        <v>10</v>
      </c>
      <c r="D34" t="s">
        <v>36</v>
      </c>
      <c r="E34" t="s">
        <v>5</v>
      </c>
      <c r="F34" t="s">
        <v>2</v>
      </c>
      <c r="G34">
        <v>-5.8191680000000003</v>
      </c>
      <c r="H34">
        <v>1.727573</v>
      </c>
      <c r="I34">
        <v>0.12813350000000001</v>
      </c>
      <c r="J34">
        <v>11.049670000000001</v>
      </c>
      <c r="K34">
        <v>100.37739999999999</v>
      </c>
      <c r="L34">
        <v>355.7835</v>
      </c>
    </row>
    <row r="35" spans="1:12" x14ac:dyDescent="0.2">
      <c r="A35" s="1">
        <v>42970.686284722222</v>
      </c>
      <c r="B35">
        <v>1678.4639999999999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1.7331490000000001</v>
      </c>
      <c r="I35">
        <v>-4.117</v>
      </c>
      <c r="J35">
        <v>7.2936019999999999</v>
      </c>
      <c r="K35">
        <v>98.421970000000002</v>
      </c>
      <c r="L35">
        <v>358.39019999999999</v>
      </c>
    </row>
    <row r="36" spans="1:12" x14ac:dyDescent="0.2">
      <c r="A36" s="1">
        <v>42970.686331018522</v>
      </c>
      <c r="B36">
        <v>1682.9829999999999</v>
      </c>
      <c r="C36">
        <v>11</v>
      </c>
      <c r="D36" t="s">
        <v>35</v>
      </c>
      <c r="E36" t="s">
        <v>0</v>
      </c>
      <c r="F36" t="s">
        <v>1</v>
      </c>
      <c r="G36">
        <v>-0.73330360000000006</v>
      </c>
      <c r="H36">
        <v>1.716118</v>
      </c>
      <c r="I36">
        <v>-4.0648160000000004</v>
      </c>
      <c r="J36">
        <v>13.31672</v>
      </c>
      <c r="K36">
        <v>331.39479999999998</v>
      </c>
      <c r="L36">
        <v>5.916938</v>
      </c>
    </row>
    <row r="37" spans="1:12" x14ac:dyDescent="0.2">
      <c r="A37" s="1">
        <v>42970.68677083333</v>
      </c>
      <c r="B37">
        <v>1720.979</v>
      </c>
      <c r="C37">
        <v>11</v>
      </c>
      <c r="D37" t="s">
        <v>36</v>
      </c>
      <c r="E37" t="s">
        <v>0</v>
      </c>
      <c r="F37" t="s">
        <v>1</v>
      </c>
      <c r="G37">
        <v>3.0862989999999999</v>
      </c>
      <c r="H37">
        <v>1.7434289999999999</v>
      </c>
      <c r="I37">
        <v>0.62265060000000005</v>
      </c>
      <c r="J37">
        <v>4.4440049999999998</v>
      </c>
      <c r="K37">
        <v>292.25009999999997</v>
      </c>
      <c r="L37">
        <v>359.74599999999998</v>
      </c>
    </row>
    <row r="38" spans="1:12" x14ac:dyDescent="0.2">
      <c r="A38" s="1">
        <v>42970.686793981484</v>
      </c>
      <c r="B38">
        <v>1722.3510000000001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1.7394970000000001</v>
      </c>
      <c r="I38">
        <v>1.8169999999999999</v>
      </c>
      <c r="J38">
        <v>4.8628999999999998</v>
      </c>
      <c r="K38">
        <v>292.64359999999999</v>
      </c>
      <c r="L38">
        <v>358.84769999999997</v>
      </c>
    </row>
    <row r="39" spans="1:12" x14ac:dyDescent="0.2">
      <c r="A39" s="1">
        <v>42970.686828703707</v>
      </c>
      <c r="B39">
        <v>1725.1959999999999</v>
      </c>
      <c r="C39">
        <v>12</v>
      </c>
      <c r="D39" t="s">
        <v>35</v>
      </c>
      <c r="E39" t="s">
        <v>3</v>
      </c>
      <c r="F39" t="s">
        <v>4</v>
      </c>
      <c r="G39">
        <v>3.371416</v>
      </c>
      <c r="H39">
        <v>1.7386029999999999</v>
      </c>
      <c r="I39">
        <v>1.788594</v>
      </c>
      <c r="J39">
        <v>6.6075160000000004</v>
      </c>
      <c r="K39">
        <v>286.33479999999997</v>
      </c>
      <c r="L39">
        <v>353.04289999999997</v>
      </c>
    </row>
    <row r="40" spans="1:12" x14ac:dyDescent="0.2">
      <c r="A40" s="1">
        <v>42970.687118055554</v>
      </c>
      <c r="B40">
        <v>1750.2860000000001</v>
      </c>
      <c r="C40">
        <v>12</v>
      </c>
      <c r="D40" t="s">
        <v>36</v>
      </c>
      <c r="E40" t="s">
        <v>3</v>
      </c>
      <c r="F40" t="s">
        <v>4</v>
      </c>
      <c r="G40">
        <v>4.5132139999999996</v>
      </c>
      <c r="H40">
        <v>1.738944</v>
      </c>
      <c r="I40">
        <v>-2.538583</v>
      </c>
      <c r="J40">
        <v>7.6462640000000004</v>
      </c>
      <c r="K40">
        <v>107.2878</v>
      </c>
      <c r="L40">
        <v>357.6902</v>
      </c>
    </row>
    <row r="41" spans="1:12" x14ac:dyDescent="0.2">
      <c r="A41" s="1">
        <v>42970.68712962963</v>
      </c>
      <c r="B41">
        <v>1751.5070000000001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1.7389540000000001</v>
      </c>
      <c r="I41">
        <v>-1.4059999999999999</v>
      </c>
      <c r="J41">
        <v>7.1795989999999996</v>
      </c>
      <c r="K41">
        <v>107.2501</v>
      </c>
      <c r="L41">
        <v>358.36660000000001</v>
      </c>
    </row>
    <row r="42" spans="1:12" x14ac:dyDescent="0.2">
      <c r="A42" s="1">
        <v>42970.687164351853</v>
      </c>
      <c r="B42">
        <v>1754.47</v>
      </c>
      <c r="C42">
        <v>13</v>
      </c>
      <c r="D42" t="s">
        <v>35</v>
      </c>
      <c r="E42" t="s">
        <v>33</v>
      </c>
      <c r="F42" t="s">
        <v>3</v>
      </c>
      <c r="G42">
        <v>-4.053363</v>
      </c>
      <c r="H42">
        <v>1.7336830000000001</v>
      </c>
      <c r="I42">
        <v>-1.4279120000000001</v>
      </c>
      <c r="J42">
        <v>11.3926</v>
      </c>
      <c r="K42">
        <v>136.89920000000001</v>
      </c>
      <c r="L42">
        <v>355.72399999999999</v>
      </c>
    </row>
    <row r="43" spans="1:12" x14ac:dyDescent="0.2">
      <c r="A43" s="1">
        <v>42970.6875</v>
      </c>
      <c r="B43">
        <v>1783.961</v>
      </c>
      <c r="C43">
        <v>13</v>
      </c>
      <c r="D43" t="s">
        <v>36</v>
      </c>
      <c r="E43" t="s">
        <v>33</v>
      </c>
      <c r="F43" t="s">
        <v>3</v>
      </c>
      <c r="G43">
        <v>0.56727269999999996</v>
      </c>
      <c r="H43">
        <v>1.7394989999999999</v>
      </c>
      <c r="I43">
        <v>-4.1236759999999997</v>
      </c>
      <c r="J43">
        <v>8.2601990000000001</v>
      </c>
      <c r="K43">
        <v>252.87450000000001</v>
      </c>
      <c r="L43">
        <v>357.22820000000002</v>
      </c>
    </row>
    <row r="44" spans="1:12" x14ac:dyDescent="0.2">
      <c r="A44" s="1">
        <v>42970.687511574077</v>
      </c>
      <c r="B44">
        <v>1784.982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1.7355320000000001</v>
      </c>
      <c r="I44">
        <v>2.7240000000000002</v>
      </c>
      <c r="J44">
        <v>7.7963209999999998</v>
      </c>
      <c r="K44">
        <v>252.726</v>
      </c>
      <c r="L44">
        <v>358.24209999999999</v>
      </c>
    </row>
    <row r="45" spans="1:12" x14ac:dyDescent="0.2">
      <c r="A45" s="1">
        <v>42970.687534722223</v>
      </c>
      <c r="B45">
        <v>1786.941</v>
      </c>
      <c r="C45">
        <v>14</v>
      </c>
      <c r="D45" t="s">
        <v>35</v>
      </c>
      <c r="E45" t="s">
        <v>5</v>
      </c>
      <c r="F45" t="s">
        <v>2</v>
      </c>
      <c r="G45">
        <v>1.5011389999999999E-2</v>
      </c>
      <c r="H45">
        <v>1.729994</v>
      </c>
      <c r="I45">
        <v>2.7082169999999999</v>
      </c>
      <c r="J45">
        <v>11.092840000000001</v>
      </c>
      <c r="K45">
        <v>269.95699999999999</v>
      </c>
      <c r="L45">
        <v>356.38889999999998</v>
      </c>
    </row>
    <row r="46" spans="1:12" x14ac:dyDescent="0.2">
      <c r="A46" s="1">
        <v>42970.687881944446</v>
      </c>
      <c r="B46">
        <v>1816.498</v>
      </c>
      <c r="C46">
        <v>14</v>
      </c>
      <c r="D46" t="s">
        <v>36</v>
      </c>
      <c r="E46" t="s">
        <v>5</v>
      </c>
      <c r="F46" t="s">
        <v>2</v>
      </c>
      <c r="G46">
        <v>-0.78655050000000004</v>
      </c>
      <c r="H46">
        <v>1.7397549999999999</v>
      </c>
      <c r="I46">
        <v>8.1926179999999995</v>
      </c>
      <c r="J46">
        <v>5.2047720000000002</v>
      </c>
      <c r="K46">
        <v>354.90879999999999</v>
      </c>
      <c r="L46">
        <v>356.9581</v>
      </c>
    </row>
    <row r="47" spans="1:12" x14ac:dyDescent="0.2">
      <c r="A47" s="1">
        <v>42970.687893518516</v>
      </c>
      <c r="B47">
        <v>1817.8869999999999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1.7414339999999999</v>
      </c>
      <c r="I47">
        <v>0.09</v>
      </c>
      <c r="J47">
        <v>4.93621</v>
      </c>
      <c r="K47">
        <v>354.2158</v>
      </c>
      <c r="L47">
        <v>357.56369999999998</v>
      </c>
    </row>
    <row r="48" spans="1:12" x14ac:dyDescent="0.2">
      <c r="A48" s="1">
        <v>42970.687962962962</v>
      </c>
      <c r="B48">
        <v>1823.4939999999999</v>
      </c>
      <c r="C48">
        <v>15</v>
      </c>
      <c r="D48" t="s">
        <v>35</v>
      </c>
      <c r="E48" t="s">
        <v>6</v>
      </c>
      <c r="F48" t="s">
        <v>33</v>
      </c>
      <c r="G48">
        <v>-4.0545749999999998</v>
      </c>
      <c r="H48">
        <v>1.7353559999999999</v>
      </c>
      <c r="I48">
        <v>4.1313049999999997E-2</v>
      </c>
      <c r="J48">
        <v>8.9396540000000009</v>
      </c>
      <c r="K48">
        <v>104.54470000000001</v>
      </c>
      <c r="L48">
        <v>357.64330000000001</v>
      </c>
    </row>
    <row r="49" spans="1:12" x14ac:dyDescent="0.2">
      <c r="A49" s="1">
        <v>42970.688252314816</v>
      </c>
      <c r="B49">
        <v>1848.297</v>
      </c>
      <c r="C49">
        <v>15</v>
      </c>
      <c r="D49" t="s">
        <v>36</v>
      </c>
      <c r="E49" t="s">
        <v>6</v>
      </c>
      <c r="F49" t="s">
        <v>33</v>
      </c>
      <c r="G49">
        <v>-4.6038759999999996</v>
      </c>
      <c r="H49">
        <v>1.7432369999999999</v>
      </c>
      <c r="I49">
        <v>4.7133649999999996</v>
      </c>
      <c r="J49">
        <v>6.1099750000000004</v>
      </c>
      <c r="K49">
        <v>210.74199999999999</v>
      </c>
      <c r="L49">
        <v>358.52609999999999</v>
      </c>
    </row>
    <row r="50" spans="1:12" x14ac:dyDescent="0.2">
      <c r="A50" s="1">
        <v>42970.688263888886</v>
      </c>
      <c r="B50">
        <v>1849.3009999999999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1.742507</v>
      </c>
      <c r="I50">
        <v>-0.67300000000000004</v>
      </c>
      <c r="J50">
        <v>5.9878600000000004</v>
      </c>
      <c r="K50">
        <v>209.25229999999999</v>
      </c>
      <c r="L50">
        <v>358.8245</v>
      </c>
    </row>
    <row r="51" spans="1:12" x14ac:dyDescent="0.2">
      <c r="A51" s="1">
        <v>42970.688298611109</v>
      </c>
      <c r="B51">
        <v>1852.0619999999999</v>
      </c>
      <c r="C51">
        <v>16</v>
      </c>
      <c r="D51" t="s">
        <v>35</v>
      </c>
      <c r="E51" t="s">
        <v>4</v>
      </c>
      <c r="F51" t="s">
        <v>6</v>
      </c>
      <c r="G51">
        <v>3.8962319999999999</v>
      </c>
      <c r="H51">
        <v>1.722564</v>
      </c>
      <c r="I51">
        <v>-0.61953630000000004</v>
      </c>
      <c r="J51">
        <v>14.856680000000001</v>
      </c>
      <c r="K51">
        <v>185.50569999999999</v>
      </c>
      <c r="L51">
        <v>357.73579999999998</v>
      </c>
    </row>
    <row r="52" spans="1:12" x14ac:dyDescent="0.2">
      <c r="A52" s="1">
        <v>42970.688506944447</v>
      </c>
      <c r="B52">
        <v>1870.4559999999999</v>
      </c>
      <c r="C52">
        <v>16</v>
      </c>
      <c r="D52" t="s">
        <v>36</v>
      </c>
      <c r="E52" t="s">
        <v>4</v>
      </c>
      <c r="F52" t="s">
        <v>6</v>
      </c>
      <c r="G52">
        <v>1.337032</v>
      </c>
      <c r="H52">
        <v>1.738442</v>
      </c>
      <c r="I52">
        <v>-3.4039350000000002</v>
      </c>
      <c r="J52">
        <v>5.7673800000000002</v>
      </c>
      <c r="K52">
        <v>288.03870000000001</v>
      </c>
      <c r="L52">
        <v>358.83879999999999</v>
      </c>
    </row>
    <row r="53" spans="1:12" x14ac:dyDescent="0.2">
      <c r="A53" s="1">
        <v>42970.688518518517</v>
      </c>
      <c r="B53">
        <v>1871.979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1.736297</v>
      </c>
      <c r="I53">
        <v>1.8169999999999999</v>
      </c>
      <c r="J53">
        <v>6.6206329999999998</v>
      </c>
      <c r="K53">
        <v>284.86110000000002</v>
      </c>
      <c r="L53">
        <v>358.9606</v>
      </c>
    </row>
    <row r="54" spans="1:12" x14ac:dyDescent="0.2">
      <c r="A54" s="1">
        <v>42970.688587962963</v>
      </c>
      <c r="B54">
        <v>1877.1669999999999</v>
      </c>
      <c r="C54">
        <v>17</v>
      </c>
      <c r="D54" t="s">
        <v>35</v>
      </c>
      <c r="E54" t="s">
        <v>3</v>
      </c>
      <c r="F54" t="s">
        <v>4</v>
      </c>
      <c r="G54">
        <v>3.3181060000000002</v>
      </c>
      <c r="H54">
        <v>1.715649</v>
      </c>
      <c r="I54">
        <v>1.8508230000000001</v>
      </c>
      <c r="J54">
        <v>14.25081</v>
      </c>
      <c r="K54">
        <v>82.715639999999993</v>
      </c>
      <c r="L54">
        <v>357.73070000000001</v>
      </c>
    </row>
    <row r="55" spans="1:12" x14ac:dyDescent="0.2">
      <c r="A55" s="1">
        <v>42970.688993055555</v>
      </c>
      <c r="B55">
        <v>1911.979</v>
      </c>
      <c r="C55">
        <v>17</v>
      </c>
      <c r="D55" t="s">
        <v>36</v>
      </c>
      <c r="E55" t="s">
        <v>3</v>
      </c>
      <c r="F55" t="s">
        <v>4</v>
      </c>
      <c r="G55">
        <v>11.639620000000001</v>
      </c>
      <c r="H55">
        <v>1.740737</v>
      </c>
      <c r="I55">
        <v>2.9942259999999998</v>
      </c>
      <c r="J55">
        <v>6.3875729999999997</v>
      </c>
      <c r="K55">
        <v>178.4425</v>
      </c>
      <c r="L55">
        <v>357.05759999999998</v>
      </c>
    </row>
    <row r="56" spans="1:12" x14ac:dyDescent="0.2">
      <c r="A56" s="1">
        <v>42970.689004629632</v>
      </c>
      <c r="B56">
        <v>1913.3510000000001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1.7393940000000001</v>
      </c>
      <c r="I56">
        <v>-4.3440000000000003</v>
      </c>
      <c r="J56">
        <v>5.957579</v>
      </c>
      <c r="K56">
        <v>179.35120000000001</v>
      </c>
      <c r="L56">
        <v>356.98360000000002</v>
      </c>
    </row>
    <row r="57" spans="1:12" x14ac:dyDescent="0.2">
      <c r="A57" s="1">
        <v>42970.689039351855</v>
      </c>
      <c r="B57">
        <v>1916.146</v>
      </c>
      <c r="C57">
        <v>18</v>
      </c>
      <c r="D57" t="s">
        <v>35</v>
      </c>
      <c r="E57" t="s">
        <v>2</v>
      </c>
      <c r="F57" t="s">
        <v>0</v>
      </c>
      <c r="G57">
        <v>3.5487769999999998</v>
      </c>
      <c r="H57">
        <v>1.7037720000000001</v>
      </c>
      <c r="I57">
        <v>-4.3492069999999998</v>
      </c>
      <c r="J57">
        <v>22.363530000000001</v>
      </c>
      <c r="K57">
        <v>192.84350000000001</v>
      </c>
      <c r="L57">
        <v>355.94450000000001</v>
      </c>
    </row>
    <row r="58" spans="1:12" x14ac:dyDescent="0.2">
      <c r="A58" s="1">
        <v>42970.689305555556</v>
      </c>
      <c r="B58">
        <v>1939.895</v>
      </c>
      <c r="C58">
        <v>18</v>
      </c>
      <c r="D58" t="s">
        <v>36</v>
      </c>
      <c r="E58" t="s">
        <v>2</v>
      </c>
      <c r="F58" t="s">
        <v>0</v>
      </c>
      <c r="G58">
        <v>-1.732701</v>
      </c>
      <c r="H58">
        <v>1.739493</v>
      </c>
      <c r="I58">
        <v>-1.253471</v>
      </c>
      <c r="J58">
        <v>8.8423610000000004</v>
      </c>
      <c r="K58">
        <v>216.6876</v>
      </c>
      <c r="L58">
        <v>355.93349999999998</v>
      </c>
    </row>
    <row r="59" spans="1:12" x14ac:dyDescent="0.2">
      <c r="A59" s="1">
        <v>42970.689340277779</v>
      </c>
      <c r="B59">
        <v>1942.1210000000001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1.740737</v>
      </c>
      <c r="I59">
        <v>-0.67300000000000004</v>
      </c>
      <c r="J59">
        <v>7.9700090000000001</v>
      </c>
      <c r="K59">
        <v>215.75049999999999</v>
      </c>
      <c r="L59">
        <v>358.22649999999999</v>
      </c>
    </row>
    <row r="60" spans="1:12" x14ac:dyDescent="0.2">
      <c r="A60" s="1">
        <v>42970.689363425925</v>
      </c>
      <c r="B60">
        <v>1944.732</v>
      </c>
      <c r="C60">
        <v>19</v>
      </c>
      <c r="D60" t="s">
        <v>35</v>
      </c>
      <c r="E60" t="s">
        <v>4</v>
      </c>
      <c r="F60" t="s">
        <v>6</v>
      </c>
      <c r="G60">
        <v>3.8457970000000001</v>
      </c>
      <c r="H60">
        <v>1.7008719999999999</v>
      </c>
      <c r="I60">
        <v>-0.62564640000000005</v>
      </c>
      <c r="J60">
        <v>23.826809999999998</v>
      </c>
      <c r="K60">
        <v>214.221</v>
      </c>
      <c r="L60">
        <v>356.29939999999999</v>
      </c>
    </row>
    <row r="61" spans="1:12" x14ac:dyDescent="0.2">
      <c r="A61" s="1">
        <v>42970.689675925925</v>
      </c>
      <c r="B61">
        <v>1971.327</v>
      </c>
      <c r="C61">
        <v>19</v>
      </c>
      <c r="D61" t="s">
        <v>36</v>
      </c>
      <c r="E61" t="s">
        <v>4</v>
      </c>
      <c r="F61" t="s">
        <v>6</v>
      </c>
      <c r="G61">
        <v>1.797777</v>
      </c>
      <c r="H61">
        <v>1.7312019999999999</v>
      </c>
      <c r="I61">
        <v>-5.4978550000000004</v>
      </c>
      <c r="J61">
        <v>10.447990000000001</v>
      </c>
      <c r="K61">
        <v>2.9122849999999998</v>
      </c>
      <c r="L61">
        <v>354.2217</v>
      </c>
    </row>
    <row r="62" spans="1:12" x14ac:dyDescent="0.2">
      <c r="A62" s="1">
        <v>42970.689710648148</v>
      </c>
      <c r="B62">
        <v>1974.039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1.738785</v>
      </c>
      <c r="I62">
        <v>-1.4059999999999999</v>
      </c>
      <c r="J62">
        <v>7.158779</v>
      </c>
      <c r="K62">
        <v>357.8768</v>
      </c>
      <c r="L62">
        <v>359.19260000000003</v>
      </c>
    </row>
    <row r="63" spans="1:12" x14ac:dyDescent="0.2">
      <c r="A63" s="1">
        <v>42970.689756944441</v>
      </c>
      <c r="B63">
        <v>1978.39</v>
      </c>
      <c r="C63">
        <v>20</v>
      </c>
      <c r="D63" t="s">
        <v>35</v>
      </c>
      <c r="E63" t="s">
        <v>33</v>
      </c>
      <c r="F63" t="s">
        <v>3</v>
      </c>
      <c r="G63">
        <v>-4.0280570000000004</v>
      </c>
      <c r="H63">
        <v>1.7295670000000001</v>
      </c>
      <c r="I63">
        <v>-1.3052950000000001</v>
      </c>
      <c r="J63">
        <v>10.425409999999999</v>
      </c>
      <c r="K63">
        <v>354.02699999999999</v>
      </c>
      <c r="L63">
        <v>355.7063</v>
      </c>
    </row>
    <row r="64" spans="1:12" x14ac:dyDescent="0.2">
      <c r="A64" s="1">
        <v>42970.690023148149</v>
      </c>
      <c r="B64">
        <v>2001.739</v>
      </c>
      <c r="C64">
        <v>20</v>
      </c>
      <c r="D64" t="s">
        <v>36</v>
      </c>
      <c r="E64" t="s">
        <v>33</v>
      </c>
      <c r="F64" t="s">
        <v>3</v>
      </c>
      <c r="G64">
        <v>1.2200869999999999</v>
      </c>
      <c r="H64">
        <v>1.730148</v>
      </c>
      <c r="I64">
        <v>-0.94458019999999998</v>
      </c>
      <c r="J64">
        <v>7.0404200000000001</v>
      </c>
      <c r="K64">
        <v>116.2073</v>
      </c>
      <c r="L64">
        <v>354.08109999999999</v>
      </c>
    </row>
    <row r="65" spans="1:12" x14ac:dyDescent="0.2">
      <c r="A65" s="1">
        <v>42970.690046296295</v>
      </c>
      <c r="B65">
        <v>2003.664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1.7311289999999999</v>
      </c>
      <c r="I65">
        <v>-4.117</v>
      </c>
      <c r="J65">
        <v>4.4905809999999997</v>
      </c>
      <c r="K65">
        <v>113.9299</v>
      </c>
      <c r="L65">
        <v>358.91410000000002</v>
      </c>
    </row>
    <row r="66" spans="1:12" x14ac:dyDescent="0.2">
      <c r="A66" s="1">
        <v>42970.690081018518</v>
      </c>
      <c r="B66">
        <v>2006.894</v>
      </c>
      <c r="C66">
        <v>21</v>
      </c>
      <c r="D66" t="s">
        <v>35</v>
      </c>
      <c r="E66" t="s">
        <v>0</v>
      </c>
      <c r="F66" t="s">
        <v>1</v>
      </c>
      <c r="G66">
        <v>-0.92635800000000001</v>
      </c>
      <c r="H66">
        <v>1.7243550000000001</v>
      </c>
      <c r="I66">
        <v>-4.2553510000000001</v>
      </c>
      <c r="J66">
        <v>11.98808</v>
      </c>
      <c r="K66">
        <v>162.8082</v>
      </c>
      <c r="L66">
        <v>356.21660000000003</v>
      </c>
    </row>
    <row r="67" spans="1:12" x14ac:dyDescent="0.2">
      <c r="A67" s="1">
        <v>42970.690347222226</v>
      </c>
      <c r="B67">
        <v>2029.79</v>
      </c>
      <c r="C67">
        <v>21</v>
      </c>
      <c r="D67" t="s">
        <v>36</v>
      </c>
      <c r="E67" t="s">
        <v>0</v>
      </c>
      <c r="F67" t="s">
        <v>1</v>
      </c>
      <c r="G67">
        <v>-1.303558</v>
      </c>
      <c r="H67">
        <v>1.7350509999999999</v>
      </c>
      <c r="I67">
        <v>1.038743</v>
      </c>
      <c r="J67">
        <v>7.3444969999999996</v>
      </c>
      <c r="K67">
        <v>219.0104</v>
      </c>
      <c r="L67">
        <v>355.74970000000002</v>
      </c>
    </row>
    <row r="68" spans="1:12" x14ac:dyDescent="0.2">
      <c r="A68" s="1">
        <v>42970.690358796295</v>
      </c>
      <c r="B68">
        <v>2030.8109999999999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1.7399929999999999</v>
      </c>
      <c r="I68">
        <v>4.1399999999999997</v>
      </c>
      <c r="J68">
        <v>7.4745090000000003</v>
      </c>
      <c r="K68">
        <v>218.92250000000001</v>
      </c>
      <c r="L68">
        <v>356.74849999999998</v>
      </c>
    </row>
    <row r="69" spans="1:12" x14ac:dyDescent="0.2">
      <c r="A69" s="1">
        <v>42970.690416666665</v>
      </c>
      <c r="B69">
        <v>2035.4639999999999</v>
      </c>
      <c r="C69">
        <v>22</v>
      </c>
      <c r="D69" t="s">
        <v>35</v>
      </c>
      <c r="E69" t="s">
        <v>1</v>
      </c>
      <c r="F69" t="s">
        <v>5</v>
      </c>
      <c r="G69">
        <v>-4.2161590000000002</v>
      </c>
      <c r="H69">
        <v>1.7206129999999999</v>
      </c>
      <c r="I69">
        <v>3.9174899999999999</v>
      </c>
      <c r="J69">
        <v>12.727510000000001</v>
      </c>
      <c r="K69">
        <v>6.8733789999999999</v>
      </c>
      <c r="L69">
        <v>354.48719999999997</v>
      </c>
    </row>
    <row r="70" spans="1:12" x14ac:dyDescent="0.2">
      <c r="A70" s="1">
        <v>42970.690775462965</v>
      </c>
      <c r="B70">
        <v>2066.1260000000002</v>
      </c>
      <c r="C70">
        <v>22</v>
      </c>
      <c r="D70" t="s">
        <v>36</v>
      </c>
      <c r="E70" t="s">
        <v>1</v>
      </c>
      <c r="F70" t="s">
        <v>5</v>
      </c>
      <c r="G70">
        <v>-7.1746460000000001</v>
      </c>
      <c r="H70">
        <v>1.7363789999999999</v>
      </c>
      <c r="I70">
        <v>10.00295</v>
      </c>
      <c r="J70">
        <v>9.1980070000000005</v>
      </c>
      <c r="K70">
        <v>226.13040000000001</v>
      </c>
      <c r="L70">
        <v>356.13709999999998</v>
      </c>
    </row>
    <row r="71" spans="1:12" x14ac:dyDescent="0.2">
      <c r="A71" s="1">
        <v>42970.690798611111</v>
      </c>
      <c r="B71">
        <v>2068.067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1.736259</v>
      </c>
      <c r="I71">
        <v>0.09</v>
      </c>
      <c r="J71">
        <v>6.6311869999999997</v>
      </c>
      <c r="K71">
        <v>225.68190000000001</v>
      </c>
      <c r="L71">
        <v>357.95</v>
      </c>
    </row>
    <row r="72" spans="1:12" x14ac:dyDescent="0.2">
      <c r="A72" s="1">
        <v>42970.690879629627</v>
      </c>
      <c r="B72">
        <v>2075.3649999999998</v>
      </c>
      <c r="C72">
        <v>23</v>
      </c>
      <c r="D72" t="s">
        <v>35</v>
      </c>
      <c r="E72" t="s">
        <v>6</v>
      </c>
      <c r="F72" t="s">
        <v>33</v>
      </c>
      <c r="G72">
        <v>-4.0417350000000001</v>
      </c>
      <c r="H72">
        <v>1.7329079999999999</v>
      </c>
      <c r="I72">
        <v>-0.1147471</v>
      </c>
      <c r="J72">
        <v>10.27881</v>
      </c>
      <c r="K72">
        <v>331.4409</v>
      </c>
      <c r="L72">
        <v>356.43790000000001</v>
      </c>
    </row>
    <row r="73" spans="1:12" x14ac:dyDescent="0.2">
      <c r="A73" s="1">
        <v>42970.691145833334</v>
      </c>
      <c r="B73">
        <v>2098.5949999999998</v>
      </c>
      <c r="C73">
        <v>23</v>
      </c>
      <c r="D73" t="s">
        <v>36</v>
      </c>
      <c r="E73" t="s">
        <v>6</v>
      </c>
      <c r="F73" t="s">
        <v>33</v>
      </c>
      <c r="G73">
        <v>-0.89835929999999997</v>
      </c>
      <c r="H73">
        <v>1.7444409999999999</v>
      </c>
      <c r="I73">
        <v>4.383623</v>
      </c>
      <c r="J73">
        <v>2.849599</v>
      </c>
      <c r="K73">
        <v>297.90460000000002</v>
      </c>
      <c r="L73">
        <v>355.80180000000001</v>
      </c>
    </row>
    <row r="74" spans="1:12" x14ac:dyDescent="0.2">
      <c r="A74" s="1">
        <v>42970.691168981481</v>
      </c>
      <c r="B74">
        <v>2100.5540000000001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1.7409030000000001</v>
      </c>
      <c r="I74">
        <v>2.7240000000000002</v>
      </c>
      <c r="J74">
        <v>4.8728860000000003</v>
      </c>
      <c r="K74">
        <v>293.76010000000002</v>
      </c>
      <c r="L74">
        <v>0.31980249999999999</v>
      </c>
    </row>
    <row r="75" spans="1:12" x14ac:dyDescent="0.2">
      <c r="A75" s="1">
        <v>42970.69122685185</v>
      </c>
      <c r="B75">
        <v>2105.357</v>
      </c>
      <c r="C75">
        <v>24</v>
      </c>
      <c r="D75" t="s">
        <v>35</v>
      </c>
      <c r="E75" t="s">
        <v>5</v>
      </c>
      <c r="F75" t="s">
        <v>2</v>
      </c>
      <c r="G75">
        <v>-0.1750372</v>
      </c>
      <c r="H75">
        <v>1.7072290000000001</v>
      </c>
      <c r="I75">
        <v>2.5857489999999999</v>
      </c>
      <c r="J75">
        <v>17.664190000000001</v>
      </c>
      <c r="K75">
        <v>33.549880000000002</v>
      </c>
      <c r="L75">
        <v>355.57400000000001</v>
      </c>
    </row>
    <row r="76" spans="1:12" x14ac:dyDescent="0.2">
      <c r="A76" s="1">
        <v>42970.691481481481</v>
      </c>
      <c r="B76">
        <v>2126.9670000000001</v>
      </c>
      <c r="C76">
        <v>24</v>
      </c>
      <c r="D76" t="s">
        <v>36</v>
      </c>
      <c r="E76" t="s">
        <v>5</v>
      </c>
      <c r="F76" t="s">
        <v>2</v>
      </c>
      <c r="G76">
        <v>-4.9755539999999998</v>
      </c>
      <c r="H76">
        <v>1.747854</v>
      </c>
      <c r="I76">
        <v>2.2262949999999999</v>
      </c>
      <c r="J76">
        <v>6.8840120000000002</v>
      </c>
      <c r="K76">
        <v>328.16140000000001</v>
      </c>
      <c r="L76">
        <v>359.0324</v>
      </c>
    </row>
    <row r="77" spans="1:12" x14ac:dyDescent="0.2">
      <c r="A77" s="1">
        <v>42970.691504629627</v>
      </c>
      <c r="B77">
        <v>2128.942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1.747007</v>
      </c>
      <c r="I77">
        <v>4.1399999999999997</v>
      </c>
      <c r="J77">
        <v>5.6467359999999998</v>
      </c>
      <c r="K77">
        <v>327.78469999999999</v>
      </c>
      <c r="L77">
        <v>358.54480000000001</v>
      </c>
    </row>
    <row r="78" spans="1:12" x14ac:dyDescent="0.2">
      <c r="A78" s="1">
        <v>42970.691562499997</v>
      </c>
      <c r="B78">
        <v>2134.8829999999998</v>
      </c>
      <c r="C78">
        <v>25</v>
      </c>
      <c r="D78" t="s">
        <v>35</v>
      </c>
      <c r="E78" t="s">
        <v>1</v>
      </c>
      <c r="F78" t="s">
        <v>5</v>
      </c>
      <c r="G78">
        <v>-4.1757989999999996</v>
      </c>
      <c r="H78">
        <v>1.7339290000000001</v>
      </c>
      <c r="I78">
        <v>4.1748250000000002</v>
      </c>
      <c r="J78">
        <v>7.7520040000000003</v>
      </c>
      <c r="K78">
        <v>188.1935</v>
      </c>
      <c r="L78">
        <v>355.20429999999999</v>
      </c>
    </row>
    <row r="79" spans="1:12" x14ac:dyDescent="0.2">
      <c r="A79" s="1">
        <v>42970.691921296297</v>
      </c>
      <c r="B79">
        <v>2165.3780000000002</v>
      </c>
      <c r="C79">
        <v>25</v>
      </c>
      <c r="D79" t="s">
        <v>36</v>
      </c>
      <c r="E79" t="s">
        <v>1</v>
      </c>
      <c r="F79" t="s">
        <v>5</v>
      </c>
      <c r="G79">
        <v>-3.1003790000000002</v>
      </c>
      <c r="H79">
        <v>1.749053</v>
      </c>
      <c r="I79">
        <v>-4.2460500000000003</v>
      </c>
      <c r="J79">
        <v>5.801266</v>
      </c>
      <c r="K79">
        <v>317.69139999999999</v>
      </c>
      <c r="L79">
        <v>355.46519999999998</v>
      </c>
    </row>
    <row r="80" spans="1:12" x14ac:dyDescent="0.2">
      <c r="A80" s="1">
        <v>42970.691932870373</v>
      </c>
      <c r="B80">
        <v>2166.951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1.7469680000000001</v>
      </c>
      <c r="I80">
        <v>-0.67300000000000004</v>
      </c>
      <c r="J80">
        <v>4.9510519999999998</v>
      </c>
      <c r="K80">
        <v>317.49430000000001</v>
      </c>
      <c r="L80">
        <v>358.19490000000002</v>
      </c>
    </row>
    <row r="81" spans="1:12" x14ac:dyDescent="0.2">
      <c r="A81" s="1">
        <v>42970.692025462966</v>
      </c>
      <c r="B81">
        <v>2173.931</v>
      </c>
      <c r="C81">
        <v>26</v>
      </c>
      <c r="D81" t="s">
        <v>35</v>
      </c>
      <c r="E81" t="s">
        <v>4</v>
      </c>
      <c r="F81" t="s">
        <v>6</v>
      </c>
      <c r="G81">
        <v>4.0900650000000001</v>
      </c>
      <c r="H81">
        <v>1.7377279999999999</v>
      </c>
      <c r="I81">
        <v>-0.70847150000000003</v>
      </c>
      <c r="J81">
        <v>7.2575669999999999</v>
      </c>
      <c r="K81">
        <v>161.8708</v>
      </c>
      <c r="L81">
        <v>356.78019999999998</v>
      </c>
    </row>
    <row r="82" spans="1:12" x14ac:dyDescent="0.2">
      <c r="A82" s="1">
        <v>42970.692245370374</v>
      </c>
      <c r="B82">
        <v>2193.0610000000001</v>
      </c>
      <c r="C82">
        <v>26</v>
      </c>
      <c r="D82" t="s">
        <v>36</v>
      </c>
      <c r="E82" t="s">
        <v>4</v>
      </c>
      <c r="F82" t="s">
        <v>6</v>
      </c>
      <c r="G82">
        <v>4.8719539999999997</v>
      </c>
      <c r="H82">
        <v>1.7313460000000001</v>
      </c>
      <c r="I82">
        <v>2.9174359999999999</v>
      </c>
      <c r="J82">
        <v>8.3387159999999998</v>
      </c>
      <c r="K82">
        <v>2.7041580000000001</v>
      </c>
      <c r="L82">
        <v>356.38589999999999</v>
      </c>
    </row>
    <row r="83" spans="1:12" x14ac:dyDescent="0.2">
      <c r="A83" s="1">
        <v>42970.692256944443</v>
      </c>
      <c r="B83">
        <v>2194.7510000000002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1.7328319999999999</v>
      </c>
      <c r="I83">
        <v>2.7240000000000002</v>
      </c>
      <c r="J83">
        <v>7.6933870000000004</v>
      </c>
      <c r="K83">
        <v>0.66301520000000003</v>
      </c>
      <c r="L83">
        <v>358.1225</v>
      </c>
    </row>
    <row r="84" spans="1:12" x14ac:dyDescent="0.2">
      <c r="A84" s="1">
        <v>42970.692557870374</v>
      </c>
      <c r="B84">
        <v>2219.9250000000002</v>
      </c>
      <c r="C84">
        <v>27</v>
      </c>
      <c r="D84" t="s">
        <v>35</v>
      </c>
      <c r="E84" t="s">
        <v>5</v>
      </c>
      <c r="F84" t="s">
        <v>2</v>
      </c>
      <c r="G84">
        <v>0.26535259999999999</v>
      </c>
      <c r="H84">
        <v>1.7123660000000001</v>
      </c>
      <c r="I84">
        <v>2.6596860000000002</v>
      </c>
      <c r="J84">
        <v>13.34693</v>
      </c>
      <c r="K84">
        <v>77.205699999999993</v>
      </c>
      <c r="L84">
        <v>357.98129999999998</v>
      </c>
    </row>
    <row r="85" spans="1:12" x14ac:dyDescent="0.2">
      <c r="A85" s="1">
        <v>42970.692800925928</v>
      </c>
      <c r="B85">
        <v>2241.9349999999999</v>
      </c>
      <c r="C85">
        <v>27</v>
      </c>
      <c r="D85" t="s">
        <v>36</v>
      </c>
      <c r="E85" t="s">
        <v>5</v>
      </c>
      <c r="F85" t="s">
        <v>2</v>
      </c>
      <c r="G85">
        <v>-0.66661210000000004</v>
      </c>
      <c r="H85">
        <v>1.7308809999999999</v>
      </c>
      <c r="I85">
        <v>-1.9723930000000001</v>
      </c>
      <c r="J85">
        <v>12.27028</v>
      </c>
      <c r="K85">
        <v>356.70960000000002</v>
      </c>
      <c r="L85">
        <v>357.68150000000003</v>
      </c>
    </row>
    <row r="86" spans="1:12" x14ac:dyDescent="0.2">
      <c r="A86" s="1">
        <v>42970.692824074074</v>
      </c>
      <c r="B86">
        <v>2243.1909999999998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1.729203</v>
      </c>
      <c r="I86">
        <v>-4.117</v>
      </c>
      <c r="J86">
        <v>12.31969</v>
      </c>
      <c r="K86">
        <v>356.65690000000001</v>
      </c>
      <c r="L86">
        <v>357.6456</v>
      </c>
    </row>
    <row r="87" spans="1:12" x14ac:dyDescent="0.2">
      <c r="A87" s="1">
        <v>42970.692858796298</v>
      </c>
      <c r="B87">
        <v>2246.404</v>
      </c>
      <c r="C87">
        <v>28</v>
      </c>
      <c r="D87" t="s">
        <v>35</v>
      </c>
      <c r="E87" t="s">
        <v>0</v>
      </c>
      <c r="F87" t="s">
        <v>1</v>
      </c>
      <c r="G87">
        <v>-0.81363580000000002</v>
      </c>
      <c r="H87">
        <v>1.71651</v>
      </c>
      <c r="I87">
        <v>-4.0037570000000002</v>
      </c>
      <c r="J87">
        <v>16.860209999999999</v>
      </c>
      <c r="K87">
        <v>326.44979999999998</v>
      </c>
      <c r="L87">
        <v>358.48140000000001</v>
      </c>
    </row>
    <row r="88" spans="1:12" x14ac:dyDescent="0.2">
      <c r="A88" s="1">
        <v>42970.69326388889</v>
      </c>
      <c r="B88">
        <v>2281.0349999999999</v>
      </c>
      <c r="C88">
        <v>28</v>
      </c>
      <c r="D88" t="s">
        <v>36</v>
      </c>
      <c r="E88" t="s">
        <v>0</v>
      </c>
      <c r="F88" t="s">
        <v>1</v>
      </c>
      <c r="G88">
        <v>4.3741560000000002</v>
      </c>
      <c r="H88">
        <v>1.726156</v>
      </c>
      <c r="I88">
        <v>1.470021</v>
      </c>
      <c r="J88">
        <v>12.64405</v>
      </c>
      <c r="K88">
        <v>264.58969999999999</v>
      </c>
      <c r="L88">
        <v>355.2407</v>
      </c>
    </row>
    <row r="89" spans="1:12" x14ac:dyDescent="0.2">
      <c r="A89" s="1">
        <v>42970.69327546296</v>
      </c>
      <c r="B89">
        <v>2282.6410000000001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1.7267349999999999</v>
      </c>
      <c r="I89">
        <v>-1.4059999999999999</v>
      </c>
      <c r="J89">
        <v>10.99272</v>
      </c>
      <c r="K89">
        <v>261.71780000000001</v>
      </c>
      <c r="L89">
        <v>355.91289999999998</v>
      </c>
    </row>
    <row r="90" spans="1:12" x14ac:dyDescent="0.2">
      <c r="A90" s="1">
        <v>42970.69332175926</v>
      </c>
      <c r="B90">
        <v>2285.9549999999999</v>
      </c>
      <c r="C90">
        <v>29</v>
      </c>
      <c r="D90" t="s">
        <v>35</v>
      </c>
      <c r="E90" t="s">
        <v>33</v>
      </c>
      <c r="F90" t="s">
        <v>3</v>
      </c>
      <c r="G90">
        <v>-4.0228299999999999</v>
      </c>
      <c r="H90">
        <v>1.6696789999999999</v>
      </c>
      <c r="I90">
        <v>-1.528567</v>
      </c>
      <c r="J90">
        <v>29.222999999999999</v>
      </c>
      <c r="K90">
        <v>321.40949999999998</v>
      </c>
      <c r="L90">
        <v>354.1515</v>
      </c>
    </row>
    <row r="91" spans="1:12" x14ac:dyDescent="0.2">
      <c r="A91" s="1">
        <v>42970.69358796296</v>
      </c>
      <c r="B91">
        <v>2309.7559999999999</v>
      </c>
      <c r="C91">
        <v>29</v>
      </c>
      <c r="D91" t="s">
        <v>36</v>
      </c>
      <c r="E91" t="s">
        <v>33</v>
      </c>
      <c r="F91" t="s">
        <v>3</v>
      </c>
      <c r="G91">
        <v>-2.7219769999999999</v>
      </c>
      <c r="H91">
        <v>1.729595</v>
      </c>
      <c r="I91">
        <v>-7.4940170000000004</v>
      </c>
      <c r="J91">
        <v>10.211919999999999</v>
      </c>
      <c r="K91">
        <v>205.0301</v>
      </c>
      <c r="L91">
        <v>357.95650000000001</v>
      </c>
    </row>
    <row r="92" spans="1:12" x14ac:dyDescent="0.2">
      <c r="A92" s="1">
        <v>42970.693611111114</v>
      </c>
      <c r="B92">
        <v>2311.2620000000002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1.7310319999999999</v>
      </c>
      <c r="I92">
        <v>0.09</v>
      </c>
      <c r="J92">
        <v>8.8939299999999992</v>
      </c>
      <c r="K92">
        <v>205.1645</v>
      </c>
      <c r="L92">
        <v>358.70850000000002</v>
      </c>
    </row>
    <row r="93" spans="1:12" x14ac:dyDescent="0.2">
      <c r="A93" s="1">
        <v>42970.69363425926</v>
      </c>
      <c r="B93">
        <v>2313.9059999999999</v>
      </c>
      <c r="C93">
        <v>30</v>
      </c>
      <c r="D93" t="s">
        <v>35</v>
      </c>
      <c r="E93" t="s">
        <v>6</v>
      </c>
      <c r="F93" t="s">
        <v>33</v>
      </c>
      <c r="G93">
        <v>-4.2186079999999997</v>
      </c>
      <c r="H93">
        <v>1.7023809999999999</v>
      </c>
      <c r="I93">
        <v>9.1354359999999996E-2</v>
      </c>
      <c r="J93">
        <v>3.547984</v>
      </c>
      <c r="K93">
        <v>155.096</v>
      </c>
      <c r="L93">
        <v>351.59969999999998</v>
      </c>
    </row>
    <row r="94" spans="1:12" x14ac:dyDescent="0.2">
      <c r="A94" s="1">
        <v>42970.693807870368</v>
      </c>
      <c r="B94">
        <v>2328.6019999999999</v>
      </c>
      <c r="C94">
        <v>30</v>
      </c>
      <c r="D94" t="s">
        <v>36</v>
      </c>
      <c r="E94" t="s">
        <v>6</v>
      </c>
      <c r="F94" t="s">
        <v>33</v>
      </c>
      <c r="G94">
        <v>-4.0358640000000001</v>
      </c>
      <c r="H94">
        <v>1.7372080000000001</v>
      </c>
      <c r="I94">
        <v>4.1712920000000002</v>
      </c>
      <c r="J94">
        <v>9.0057679999999998</v>
      </c>
      <c r="K94">
        <v>242.4641</v>
      </c>
      <c r="L94">
        <v>358.78949999999998</v>
      </c>
    </row>
    <row r="95" spans="1:12" x14ac:dyDescent="0.2">
      <c r="A95" s="1">
        <v>42970.693831018521</v>
      </c>
      <c r="B95">
        <v>2330.3589999999999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1.7318</v>
      </c>
      <c r="I95">
        <v>-4.3440000000000003</v>
      </c>
      <c r="J95">
        <v>7.732545</v>
      </c>
      <c r="K95">
        <v>239.3999</v>
      </c>
      <c r="L95">
        <v>8.3736290000000005E-2</v>
      </c>
    </row>
    <row r="96" spans="1:12" x14ac:dyDescent="0.2">
      <c r="A96" s="1">
        <v>42970.69390046296</v>
      </c>
      <c r="B96">
        <v>2336.7359999999999</v>
      </c>
      <c r="C96">
        <v>31</v>
      </c>
      <c r="D96" t="s">
        <v>35</v>
      </c>
      <c r="E96" t="s">
        <v>2</v>
      </c>
      <c r="F96" t="s">
        <v>0</v>
      </c>
      <c r="G96">
        <v>3.3829820000000002</v>
      </c>
      <c r="H96">
        <v>1.732674</v>
      </c>
      <c r="I96">
        <v>-4.5118260000000001</v>
      </c>
      <c r="J96">
        <v>7.5065229999999996</v>
      </c>
      <c r="K96">
        <v>319.15679999999998</v>
      </c>
      <c r="L96">
        <v>357.50700000000001</v>
      </c>
    </row>
    <row r="97" spans="1:12" x14ac:dyDescent="0.2">
      <c r="A97" s="1">
        <v>42970.694097222222</v>
      </c>
      <c r="B97">
        <v>2353.3159999999998</v>
      </c>
      <c r="C97">
        <v>31</v>
      </c>
      <c r="D97" t="s">
        <v>36</v>
      </c>
      <c r="E97" t="s">
        <v>2</v>
      </c>
      <c r="F97" t="s">
        <v>0</v>
      </c>
      <c r="G97">
        <v>0.35966969999999998</v>
      </c>
      <c r="H97">
        <v>1.7326269999999999</v>
      </c>
      <c r="I97">
        <v>0.15369840000000001</v>
      </c>
      <c r="J97">
        <v>8.7441410000000008</v>
      </c>
      <c r="K97">
        <v>19.425229999999999</v>
      </c>
      <c r="L97">
        <v>355.3347</v>
      </c>
    </row>
    <row r="98" spans="1:12" x14ac:dyDescent="0.2">
      <c r="A98" s="1">
        <v>42970.694108796299</v>
      </c>
      <c r="B98">
        <v>2354.9470000000001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1.7341800000000001</v>
      </c>
      <c r="I98">
        <v>1.8169999999999999</v>
      </c>
      <c r="J98">
        <v>6.3286930000000003</v>
      </c>
      <c r="K98">
        <v>20.085450000000002</v>
      </c>
      <c r="L98">
        <v>357.5102</v>
      </c>
    </row>
    <row r="99" spans="1:12" x14ac:dyDescent="0.2">
      <c r="A99" s="1">
        <v>42970.694155092591</v>
      </c>
      <c r="B99">
        <v>2358.913</v>
      </c>
      <c r="C99">
        <v>32</v>
      </c>
      <c r="D99" t="s">
        <v>35</v>
      </c>
      <c r="E99" t="s">
        <v>3</v>
      </c>
      <c r="F99" t="s">
        <v>4</v>
      </c>
      <c r="G99">
        <v>3.4340130000000002</v>
      </c>
      <c r="H99">
        <v>1.688191</v>
      </c>
      <c r="I99">
        <v>1.8811169999999999</v>
      </c>
      <c r="J99">
        <v>25.189630000000001</v>
      </c>
      <c r="K99">
        <v>57.547739999999997</v>
      </c>
      <c r="L99">
        <v>353.17039999999997</v>
      </c>
    </row>
    <row r="100" spans="1:12" x14ac:dyDescent="0.2">
      <c r="A100" s="1">
        <v>42970.694456018522</v>
      </c>
      <c r="B100">
        <v>2384.085</v>
      </c>
      <c r="C100">
        <v>32</v>
      </c>
      <c r="D100" t="s">
        <v>36</v>
      </c>
      <c r="E100" t="s">
        <v>3</v>
      </c>
      <c r="F100" t="s">
        <v>4</v>
      </c>
      <c r="G100">
        <v>-0.44079020000000002</v>
      </c>
      <c r="H100">
        <v>1.736162</v>
      </c>
      <c r="I100">
        <v>-4.0345950000000004</v>
      </c>
      <c r="J100">
        <v>6.0143219999999999</v>
      </c>
      <c r="K100">
        <v>288.06920000000002</v>
      </c>
      <c r="L100">
        <v>0.49642229999999998</v>
      </c>
    </row>
    <row r="101" spans="1:12" x14ac:dyDescent="0.2">
      <c r="A101" s="1">
        <v>42970.694467592592</v>
      </c>
      <c r="B101">
        <v>2385.692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1.7346200000000001</v>
      </c>
      <c r="I101">
        <v>0.09</v>
      </c>
      <c r="J101">
        <v>6.1135510000000002</v>
      </c>
      <c r="K101">
        <v>289.6472</v>
      </c>
      <c r="L101">
        <v>359.58240000000001</v>
      </c>
    </row>
    <row r="102" spans="1:12" x14ac:dyDescent="0.2">
      <c r="A102" s="1">
        <v>42970.694513888891</v>
      </c>
      <c r="B102">
        <v>2389.4409999999998</v>
      </c>
      <c r="C102">
        <v>33</v>
      </c>
      <c r="D102" t="s">
        <v>35</v>
      </c>
      <c r="E102" t="s">
        <v>6</v>
      </c>
      <c r="F102" t="s">
        <v>33</v>
      </c>
      <c r="G102">
        <v>-4.1295500000000001</v>
      </c>
      <c r="H102">
        <v>1.710761</v>
      </c>
      <c r="I102">
        <v>0.2673256</v>
      </c>
      <c r="J102">
        <v>10.69547</v>
      </c>
      <c r="K102">
        <v>185.89330000000001</v>
      </c>
      <c r="L102">
        <v>354.27440000000001</v>
      </c>
    </row>
    <row r="103" spans="1:12" x14ac:dyDescent="0.2">
      <c r="A103" s="1">
        <v>42970.694849537038</v>
      </c>
      <c r="B103">
        <v>2418.8330000000001</v>
      </c>
      <c r="C103">
        <v>33</v>
      </c>
      <c r="D103" t="s">
        <v>36</v>
      </c>
      <c r="E103" t="s">
        <v>6</v>
      </c>
      <c r="F103" t="s">
        <v>33</v>
      </c>
      <c r="G103">
        <v>-8.9535900000000002</v>
      </c>
      <c r="H103">
        <v>1.740758</v>
      </c>
      <c r="I103">
        <v>5.2005150000000002</v>
      </c>
      <c r="J103">
        <v>4.2043720000000002</v>
      </c>
      <c r="K103">
        <v>64.220240000000004</v>
      </c>
      <c r="L103">
        <v>359.08699999999999</v>
      </c>
    </row>
    <row r="104" spans="1:12" x14ac:dyDescent="0.2">
      <c r="A104" s="1">
        <v>42970.694872685184</v>
      </c>
      <c r="B104">
        <v>2420.3049999999998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1.730826</v>
      </c>
      <c r="I104">
        <v>-0.67300000000000004</v>
      </c>
      <c r="J104">
        <v>6.6421859999999997</v>
      </c>
      <c r="K104">
        <v>63.168280000000003</v>
      </c>
      <c r="L104">
        <v>0.28852719999999998</v>
      </c>
    </row>
    <row r="105" spans="1:12" x14ac:dyDescent="0.2">
      <c r="A105" s="1">
        <v>42970.694907407407</v>
      </c>
      <c r="B105">
        <v>2423.0169999999998</v>
      </c>
      <c r="C105">
        <v>34</v>
      </c>
      <c r="D105" t="s">
        <v>35</v>
      </c>
      <c r="E105" t="s">
        <v>4</v>
      </c>
      <c r="F105" t="s">
        <v>6</v>
      </c>
      <c r="G105">
        <v>3.9996200000000002</v>
      </c>
      <c r="H105">
        <v>1.7061299999999999</v>
      </c>
      <c r="I105">
        <v>-0.57737609999999995</v>
      </c>
      <c r="J105">
        <v>19.59665</v>
      </c>
      <c r="K105">
        <v>65.379649999999998</v>
      </c>
      <c r="L105">
        <v>356.87920000000003</v>
      </c>
    </row>
    <row r="106" spans="1:12" x14ac:dyDescent="0.2">
      <c r="A106" s="1">
        <v>42970.695104166669</v>
      </c>
      <c r="B106">
        <v>2440.0059999999999</v>
      </c>
      <c r="C106">
        <v>34</v>
      </c>
      <c r="D106" t="s">
        <v>36</v>
      </c>
      <c r="E106" t="s">
        <v>4</v>
      </c>
      <c r="F106" t="s">
        <v>6</v>
      </c>
      <c r="G106">
        <v>4.936858</v>
      </c>
      <c r="H106">
        <v>1.7279150000000001</v>
      </c>
      <c r="I106">
        <v>4.0257969999999998</v>
      </c>
      <c r="J106">
        <v>13.479189999999999</v>
      </c>
      <c r="K106">
        <v>321.75900000000001</v>
      </c>
      <c r="L106">
        <v>356.27319999999997</v>
      </c>
    </row>
    <row r="107" spans="1:12" x14ac:dyDescent="0.2">
      <c r="A107" s="1">
        <v>42970.695115740738</v>
      </c>
      <c r="B107">
        <v>2441.7629999999999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1.7242150000000001</v>
      </c>
      <c r="I107">
        <v>2.7240000000000002</v>
      </c>
      <c r="J107">
        <v>13.523389999999999</v>
      </c>
      <c r="K107">
        <v>322.54250000000002</v>
      </c>
      <c r="L107">
        <v>355.92340000000002</v>
      </c>
    </row>
    <row r="108" spans="1:12" x14ac:dyDescent="0.2">
      <c r="A108" s="1">
        <v>42970.695173611108</v>
      </c>
      <c r="B108">
        <v>2446.902</v>
      </c>
      <c r="C108">
        <v>35</v>
      </c>
      <c r="D108" t="s">
        <v>35</v>
      </c>
      <c r="E108" t="s">
        <v>5</v>
      </c>
      <c r="F108" t="s">
        <v>2</v>
      </c>
      <c r="G108">
        <v>-2.206899E-2</v>
      </c>
      <c r="H108">
        <v>1.7357309999999999</v>
      </c>
      <c r="I108">
        <v>2.581747</v>
      </c>
      <c r="J108">
        <v>9.9792140000000007</v>
      </c>
      <c r="K108">
        <v>33.020499999999998</v>
      </c>
      <c r="L108">
        <v>357.06349999999998</v>
      </c>
    </row>
    <row r="109" spans="1:12" x14ac:dyDescent="0.2">
      <c r="A109" s="1">
        <v>42970.695347222223</v>
      </c>
      <c r="B109">
        <v>2461.8150000000001</v>
      </c>
      <c r="C109">
        <v>35</v>
      </c>
      <c r="D109" t="s">
        <v>36</v>
      </c>
      <c r="E109" t="s">
        <v>5</v>
      </c>
      <c r="F109" t="s">
        <v>2</v>
      </c>
      <c r="G109">
        <v>-3.2993980000000001</v>
      </c>
      <c r="H109">
        <v>1.732953</v>
      </c>
      <c r="I109">
        <v>-0.39103890000000002</v>
      </c>
      <c r="J109">
        <v>11.35126</v>
      </c>
      <c r="K109">
        <v>351.1234</v>
      </c>
      <c r="L109">
        <v>358.70229999999998</v>
      </c>
    </row>
    <row r="110" spans="1:12" x14ac:dyDescent="0.2">
      <c r="A110" s="1">
        <v>42970.695370370369</v>
      </c>
      <c r="B110">
        <v>2463.1709999999998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1.7265379999999999</v>
      </c>
      <c r="I110">
        <v>1.8169999999999999</v>
      </c>
      <c r="J110">
        <v>11.520530000000001</v>
      </c>
      <c r="K110">
        <v>348.71839999999997</v>
      </c>
      <c r="L110">
        <v>358.23989999999998</v>
      </c>
    </row>
    <row r="111" spans="1:12" x14ac:dyDescent="0.2">
      <c r="A111" s="1">
        <v>42970.695428240739</v>
      </c>
      <c r="B111">
        <v>2468.895</v>
      </c>
      <c r="C111">
        <v>36</v>
      </c>
      <c r="D111" t="s">
        <v>35</v>
      </c>
      <c r="E111" t="s">
        <v>3</v>
      </c>
      <c r="F111" t="s">
        <v>4</v>
      </c>
      <c r="G111">
        <v>3.492772</v>
      </c>
      <c r="H111">
        <v>1.7184360000000001</v>
      </c>
      <c r="I111">
        <v>1.929003</v>
      </c>
      <c r="J111">
        <v>16.94069</v>
      </c>
      <c r="K111">
        <v>125.6439</v>
      </c>
      <c r="L111">
        <v>1.337048</v>
      </c>
    </row>
    <row r="112" spans="1:12" x14ac:dyDescent="0.2">
      <c r="A112" s="1">
        <v>42970.695752314816</v>
      </c>
      <c r="B112">
        <v>2496.6469999999999</v>
      </c>
      <c r="C112">
        <v>36</v>
      </c>
      <c r="D112" t="s">
        <v>36</v>
      </c>
      <c r="E112" t="s">
        <v>3</v>
      </c>
      <c r="F112" t="s">
        <v>4</v>
      </c>
      <c r="G112">
        <v>-2.7766899999999999</v>
      </c>
      <c r="H112">
        <v>1.721948</v>
      </c>
      <c r="I112">
        <v>-2.8313809999999999</v>
      </c>
      <c r="J112">
        <v>10.168189999999999</v>
      </c>
      <c r="K112">
        <v>15.981999999999999</v>
      </c>
      <c r="L112">
        <v>357.3725</v>
      </c>
    </row>
    <row r="113" spans="1:12" x14ac:dyDescent="0.2">
      <c r="A113" s="1">
        <v>42970.695775462962</v>
      </c>
      <c r="B113">
        <v>2498.3040000000001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1.725117</v>
      </c>
      <c r="I113">
        <v>0.09</v>
      </c>
      <c r="J113">
        <v>10.79463</v>
      </c>
      <c r="K113">
        <v>17.280570000000001</v>
      </c>
      <c r="L113">
        <v>357.90910000000002</v>
      </c>
    </row>
    <row r="114" spans="1:12" x14ac:dyDescent="0.2">
      <c r="A114" s="1">
        <v>42970.695821759262</v>
      </c>
      <c r="B114">
        <v>2502.5390000000002</v>
      </c>
      <c r="C114">
        <v>37</v>
      </c>
      <c r="D114" t="s">
        <v>35</v>
      </c>
      <c r="E114" t="s">
        <v>6</v>
      </c>
      <c r="F114" t="s">
        <v>33</v>
      </c>
      <c r="G114">
        <v>-3.998516</v>
      </c>
      <c r="H114">
        <v>1.7170099999999999</v>
      </c>
      <c r="I114">
        <v>6.0510359999999999E-2</v>
      </c>
      <c r="J114">
        <v>11.883609999999999</v>
      </c>
      <c r="K114">
        <v>240.25620000000001</v>
      </c>
      <c r="L114">
        <v>355.6567</v>
      </c>
    </row>
    <row r="115" spans="1:12" x14ac:dyDescent="0.2">
      <c r="A115" s="1">
        <v>42970.696018518516</v>
      </c>
      <c r="B115">
        <v>2519.1930000000002</v>
      </c>
      <c r="C115">
        <v>37</v>
      </c>
      <c r="D115" t="s">
        <v>36</v>
      </c>
      <c r="E115" t="s">
        <v>6</v>
      </c>
      <c r="F115" t="s">
        <v>33</v>
      </c>
      <c r="G115">
        <v>-1.7454700000000001</v>
      </c>
      <c r="H115">
        <v>1.7380679999999999</v>
      </c>
      <c r="I115">
        <v>4.5257860000000001</v>
      </c>
      <c r="J115">
        <v>7.3417440000000003</v>
      </c>
      <c r="K115">
        <v>355.38929999999999</v>
      </c>
      <c r="L115">
        <v>356.60700000000003</v>
      </c>
    </row>
    <row r="116" spans="1:12" x14ac:dyDescent="0.2">
      <c r="A116" s="1">
        <v>42970.696030092593</v>
      </c>
      <c r="B116">
        <v>2520.9169999999999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1.7366699999999999</v>
      </c>
      <c r="I116">
        <v>-4.3440000000000003</v>
      </c>
      <c r="J116">
        <v>7.2978630000000004</v>
      </c>
      <c r="K116">
        <v>353.4769</v>
      </c>
      <c r="L116">
        <v>357.25599999999997</v>
      </c>
    </row>
    <row r="117" spans="1:12" x14ac:dyDescent="0.2">
      <c r="A117" s="1">
        <v>42970.696076388886</v>
      </c>
      <c r="B117">
        <v>2524.9</v>
      </c>
      <c r="C117">
        <v>38</v>
      </c>
      <c r="D117" t="s">
        <v>35</v>
      </c>
      <c r="E117" t="s">
        <v>2</v>
      </c>
      <c r="F117" t="s">
        <v>0</v>
      </c>
      <c r="G117">
        <v>3.3698570000000001</v>
      </c>
      <c r="H117">
        <v>1.743743</v>
      </c>
      <c r="I117">
        <v>-4.397367</v>
      </c>
      <c r="J117">
        <v>4.4814579999999999</v>
      </c>
      <c r="K117">
        <v>65.200190000000006</v>
      </c>
      <c r="L117">
        <v>357.51170000000002</v>
      </c>
    </row>
    <row r="118" spans="1:12" x14ac:dyDescent="0.2">
      <c r="A118" s="1">
        <v>42970.696284722224</v>
      </c>
      <c r="B118">
        <v>2542.2570000000001</v>
      </c>
      <c r="C118">
        <v>38</v>
      </c>
      <c r="D118" t="s">
        <v>36</v>
      </c>
      <c r="E118" t="s">
        <v>2</v>
      </c>
      <c r="F118" t="s">
        <v>0</v>
      </c>
      <c r="G118">
        <v>-1.4981979999999999</v>
      </c>
      <c r="H118">
        <v>1.7355640000000001</v>
      </c>
      <c r="I118">
        <v>-4.0039709999999999</v>
      </c>
      <c r="J118">
        <v>6.9964729999999999</v>
      </c>
      <c r="K118">
        <v>101.4037</v>
      </c>
      <c r="L118">
        <v>352.36709999999999</v>
      </c>
    </row>
    <row r="119" spans="1:12" x14ac:dyDescent="0.2">
      <c r="A119" s="1">
        <v>42970.696296296293</v>
      </c>
      <c r="B119">
        <v>2543.4960000000001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1.733255</v>
      </c>
      <c r="I119">
        <v>4.1399999999999997</v>
      </c>
      <c r="J119">
        <v>6.145467</v>
      </c>
      <c r="K119">
        <v>101.221</v>
      </c>
      <c r="L119">
        <v>357.28</v>
      </c>
    </row>
    <row r="120" spans="1:12" x14ac:dyDescent="0.2">
      <c r="A120" s="1">
        <v>42970.69635416667</v>
      </c>
      <c r="B120">
        <v>2548.4169999999999</v>
      </c>
      <c r="C120">
        <v>39</v>
      </c>
      <c r="D120" t="s">
        <v>35</v>
      </c>
      <c r="E120" t="s">
        <v>1</v>
      </c>
      <c r="F120" t="s">
        <v>5</v>
      </c>
      <c r="G120">
        <v>-3.949236</v>
      </c>
      <c r="H120">
        <v>1.720818</v>
      </c>
      <c r="I120">
        <v>4.1338699999999999</v>
      </c>
      <c r="J120">
        <v>12.79593</v>
      </c>
      <c r="K120">
        <v>275.0138</v>
      </c>
      <c r="L120">
        <v>356.40699999999998</v>
      </c>
    </row>
    <row r="121" spans="1:12" x14ac:dyDescent="0.2">
      <c r="A121" s="1">
        <v>42970.696712962963</v>
      </c>
      <c r="B121">
        <v>2579.8319999999999</v>
      </c>
      <c r="C121">
        <v>39</v>
      </c>
      <c r="D121" t="s">
        <v>36</v>
      </c>
      <c r="E121" t="s">
        <v>1</v>
      </c>
      <c r="F121" t="s">
        <v>5</v>
      </c>
      <c r="G121">
        <v>-0.24484420000000001</v>
      </c>
      <c r="H121">
        <v>1.738826</v>
      </c>
      <c r="I121">
        <v>-4.7533390000000004</v>
      </c>
      <c r="J121">
        <v>6.481941</v>
      </c>
      <c r="K121">
        <v>24.713809999999999</v>
      </c>
      <c r="L121">
        <v>356.84989999999999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-1.8154399999999999</v>
      </c>
      <c r="G2" s="3">
        <f>VLOOKUP($A2,'Summary Data (40)'!$C$2:$L$249,6,1)</f>
        <v>1.7368319999999999</v>
      </c>
      <c r="H2" s="3">
        <f>VLOOKUP($A2,'Summary Data (40)'!$C$2:$L$249,7,1)</f>
        <v>1.210421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5.4141932829223043</v>
      </c>
      <c r="N2" s="3">
        <f t="shared" ref="N2:N41" si="1">ABS(SQRT((F2-C2)^2+(H2-E2)^2))</f>
        <v>7.699080797006939</v>
      </c>
      <c r="O2" s="3">
        <f t="shared" ref="O2:O41" si="2">ABS(SQRT((J2-C2)^2+(L2-E2)^2))</f>
        <v>4.3718971854333439</v>
      </c>
      <c r="P2" s="3">
        <f t="shared" ref="P2:P41" si="3">(N2-O2)</f>
        <v>3.3271836115735951</v>
      </c>
      <c r="Q2" s="5">
        <f t="shared" ref="Q2:Q41" si="4">P2/O2</f>
        <v>0.76103885120157588</v>
      </c>
      <c r="R2" s="3">
        <f t="shared" ref="R2:R41" si="5">ATAN2(J2-C2,L2-E2)*180/PI()</f>
        <v>177.02371934116897</v>
      </c>
      <c r="S2" s="3">
        <f t="shared" ref="S2:S41" si="6">ATAN2(F2-C2,H2-E2)*180/PI()</f>
        <v>133.82654354606069</v>
      </c>
      <c r="T2" s="3">
        <f t="shared" ref="T2:T41" si="7">IF(ABS(R2-S2)&gt;180,360-ABS(R2-S2),ABS(R2-S2))</f>
        <v>43.197175795108279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0.36552190000000001</v>
      </c>
      <c r="G3" s="3">
        <f>VLOOKUP($A3,'Summary Data (40)'!$C$2:$L$249,6,1)</f>
        <v>1.7403930000000001</v>
      </c>
      <c r="H3" s="3">
        <f>VLOOKUP($A3,'Summary Data (40)'!$C$2:$L$249,7,1)</f>
        <v>-1.4803219999999999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4.2574832878431375</v>
      </c>
      <c r="N3" s="3">
        <f t="shared" si="1"/>
        <v>4.2188255520065789</v>
      </c>
      <c r="O3" s="3">
        <f t="shared" si="2"/>
        <v>7.8871175977032326</v>
      </c>
      <c r="P3" s="3">
        <f t="shared" si="3"/>
        <v>-3.6682920456966537</v>
      </c>
      <c r="Q3" s="5">
        <f t="shared" si="4"/>
        <v>-0.46509919501705899</v>
      </c>
      <c r="R3" s="3">
        <f t="shared" si="5"/>
        <v>-63.65586590726528</v>
      </c>
      <c r="S3" s="3">
        <f t="shared" si="6"/>
        <v>-85.24770346625202</v>
      </c>
      <c r="T3" s="3">
        <f t="shared" si="7"/>
        <v>21.59183755898674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3.4652729999999998</v>
      </c>
      <c r="G4" s="3">
        <f>VLOOKUP($A4,'Summary Data (40)'!$C$2:$L$249,6,1)</f>
        <v>1.740553</v>
      </c>
      <c r="H4" s="3">
        <f>VLOOKUP($A4,'Summary Data (40)'!$C$2:$L$249,7,1)</f>
        <v>-3.7636020000000001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5.58136479626023</v>
      </c>
      <c r="N4" s="3">
        <f t="shared" si="1"/>
        <v>7.8105869677594013</v>
      </c>
      <c r="O4" s="3">
        <f t="shared" si="2"/>
        <v>8.0292617967033557</v>
      </c>
      <c r="P4" s="3">
        <f t="shared" si="3"/>
        <v>-0.2186748289439544</v>
      </c>
      <c r="Q4" s="5">
        <f t="shared" si="4"/>
        <v>-2.7234736452825294E-2</v>
      </c>
      <c r="R4" s="3">
        <f t="shared" si="5"/>
        <v>23.666151625811782</v>
      </c>
      <c r="S4" s="3">
        <f t="shared" si="6"/>
        <v>-17.568570169282456</v>
      </c>
      <c r="T4" s="3">
        <f t="shared" si="7"/>
        <v>41.234721795094238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-8.761476</v>
      </c>
      <c r="G5" s="3">
        <f>VLOOKUP($A5,'Summary Data (40)'!$C$2:$L$249,6,1)</f>
        <v>1.739692</v>
      </c>
      <c r="H5" s="3">
        <f>VLOOKUP($A5,'Summary Data (40)'!$C$2:$L$249,7,1)</f>
        <v>4.3503090000000002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4.6871965358897638</v>
      </c>
      <c r="N5" s="3">
        <f t="shared" si="1"/>
        <v>11.588217041463151</v>
      </c>
      <c r="O5" s="3">
        <f t="shared" si="2"/>
        <v>8.8659173242253964</v>
      </c>
      <c r="P5" s="3">
        <f t="shared" si="3"/>
        <v>2.722299717237755</v>
      </c>
      <c r="Q5" s="5">
        <f t="shared" si="4"/>
        <v>0.30705223359113593</v>
      </c>
      <c r="R5" s="3">
        <f t="shared" si="5"/>
        <v>111.35858600069317</v>
      </c>
      <c r="S5" s="3">
        <f t="shared" si="6"/>
        <v>133.05634741330758</v>
      </c>
      <c r="T5" s="3">
        <f t="shared" si="7"/>
        <v>21.697761412614412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8.9737019999999994</v>
      </c>
      <c r="G6" s="3">
        <f>VLOOKUP($A6,'Summary Data (40)'!$C$2:$L$249,6,1)</f>
        <v>1.750202</v>
      </c>
      <c r="H6" s="3">
        <f>VLOOKUP($A6,'Summary Data (40)'!$C$2:$L$249,7,1)</f>
        <v>-4.2693219999999998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6.2043254782843222</v>
      </c>
      <c r="N6" s="3">
        <f t="shared" si="1"/>
        <v>8.2711050277751887</v>
      </c>
      <c r="O6" s="3">
        <f t="shared" si="2"/>
        <v>2.5489458605470614</v>
      </c>
      <c r="P6" s="3">
        <f t="shared" si="3"/>
        <v>5.7221591672281278</v>
      </c>
      <c r="Q6" s="5">
        <f t="shared" si="4"/>
        <v>2.24491200687959</v>
      </c>
      <c r="R6" s="3">
        <f t="shared" si="5"/>
        <v>-77.654050540796021</v>
      </c>
      <c r="S6" s="3">
        <f t="shared" si="6"/>
        <v>-47.379389280682794</v>
      </c>
      <c r="T6" s="3">
        <f t="shared" si="7"/>
        <v>30.274661260113227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-6.7685639999999996</v>
      </c>
      <c r="G7" s="3">
        <f>VLOOKUP($A7,'Summary Data (40)'!$C$2:$L$249,6,1)</f>
        <v>1.732186</v>
      </c>
      <c r="H7" s="3">
        <f>VLOOKUP($A7,'Summary Data (40)'!$C$2:$L$249,7,1)</f>
        <v>-8.5338379999999994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7.3849751347137245</v>
      </c>
      <c r="N7" s="3">
        <f t="shared" si="1"/>
        <v>11.10526898081897</v>
      </c>
      <c r="O7" s="3">
        <f t="shared" si="2"/>
        <v>4.3718971854333439</v>
      </c>
      <c r="P7" s="3">
        <f t="shared" si="3"/>
        <v>6.7333717953856258</v>
      </c>
      <c r="Q7" s="5">
        <f t="shared" si="4"/>
        <v>1.5401487065662116</v>
      </c>
      <c r="R7" s="3">
        <f t="shared" si="5"/>
        <v>177.02371934116897</v>
      </c>
      <c r="S7" s="3">
        <f t="shared" si="6"/>
        <v>-157.83446431754484</v>
      </c>
      <c r="T7" s="3">
        <f t="shared" si="7"/>
        <v>25.141816341286187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-0.54216149999999996</v>
      </c>
      <c r="G8" s="3">
        <f>VLOOKUP($A8,'Summary Data (40)'!$C$2:$L$249,6,1)</f>
        <v>1.73333</v>
      </c>
      <c r="H8" s="3">
        <f>VLOOKUP($A8,'Summary Data (40)'!$C$2:$L$249,7,1)</f>
        <v>0.40826960000000001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3.8880823564536811</v>
      </c>
      <c r="N8" s="3">
        <f t="shared" si="1"/>
        <v>3.5820060162381657</v>
      </c>
      <c r="O8" s="3">
        <f t="shared" si="2"/>
        <v>1.5015515309172709</v>
      </c>
      <c r="P8" s="3">
        <f t="shared" si="3"/>
        <v>2.0804544853208951</v>
      </c>
      <c r="Q8" s="5">
        <f t="shared" si="4"/>
        <v>1.3855365217136322</v>
      </c>
      <c r="R8" s="3">
        <f t="shared" si="5"/>
        <v>-85.071579131103505</v>
      </c>
      <c r="S8" s="3">
        <f t="shared" si="6"/>
        <v>5.0975862342952265</v>
      </c>
      <c r="T8" s="3">
        <f t="shared" si="7"/>
        <v>90.169165365398726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-8.1084980000000009</v>
      </c>
      <c r="G9" s="3">
        <f>VLOOKUP($A9,'Summary Data (40)'!$C$2:$L$249,6,1)</f>
        <v>1.74533</v>
      </c>
      <c r="H9" s="3">
        <f>VLOOKUP($A9,'Summary Data (40)'!$C$2:$L$249,7,1)</f>
        <v>4.8436440000000003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4.0904729568523015</v>
      </c>
      <c r="N9" s="3">
        <f t="shared" si="1"/>
        <v>11.531649236372914</v>
      </c>
      <c r="O9" s="3">
        <f t="shared" si="2"/>
        <v>8.8659173242253964</v>
      </c>
      <c r="P9" s="3">
        <f t="shared" si="3"/>
        <v>2.6657319121475176</v>
      </c>
      <c r="Q9" s="5">
        <f t="shared" si="4"/>
        <v>0.30067186672986701</v>
      </c>
      <c r="R9" s="3">
        <f t="shared" si="5"/>
        <v>111.35858600069317</v>
      </c>
      <c r="S9" s="3">
        <f t="shared" si="6"/>
        <v>129.0089256383601</v>
      </c>
      <c r="T9" s="3">
        <f t="shared" si="7"/>
        <v>17.650339637666931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3.1811780000000001</v>
      </c>
      <c r="G10" s="3">
        <f>VLOOKUP($A10,'Summary Data (40)'!$C$2:$L$249,6,1)</f>
        <v>1.750067</v>
      </c>
      <c r="H10" s="3">
        <f>VLOOKUP($A10,'Summary Data (40)'!$C$2:$L$249,7,1)</f>
        <v>-8.5096919999999994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4.1791261778687652</v>
      </c>
      <c r="N10" s="3">
        <f t="shared" si="1"/>
        <v>11.671083399691222</v>
      </c>
      <c r="O10" s="3">
        <f t="shared" si="2"/>
        <v>7.8871175977032326</v>
      </c>
      <c r="P10" s="3">
        <f t="shared" si="3"/>
        <v>3.7839658019879892</v>
      </c>
      <c r="Q10" s="5">
        <f t="shared" si="4"/>
        <v>0.47976535852462737</v>
      </c>
      <c r="R10" s="3">
        <f t="shared" si="5"/>
        <v>-63.65586590726528</v>
      </c>
      <c r="S10" s="3">
        <f t="shared" si="6"/>
        <v>-74.264414759826096</v>
      </c>
      <c r="T10" s="3">
        <f t="shared" si="7"/>
        <v>10.608548852560816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0.1487446</v>
      </c>
      <c r="G11" s="3">
        <f>VLOOKUP($A11,'Summary Data (40)'!$C$2:$L$249,6,1)</f>
        <v>1.7353510000000001</v>
      </c>
      <c r="H11" s="3">
        <f>VLOOKUP($A11,'Summary Data (40)'!$C$2:$L$249,7,1)</f>
        <v>-5.1295909999999996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5.5605683519322158</v>
      </c>
      <c r="N11" s="3">
        <f t="shared" si="1"/>
        <v>6.7365447950199329</v>
      </c>
      <c r="O11" s="3">
        <f t="shared" si="2"/>
        <v>1.5015515309172709</v>
      </c>
      <c r="P11" s="3">
        <f t="shared" si="3"/>
        <v>5.2349932641026617</v>
      </c>
      <c r="Q11" s="5">
        <f t="shared" si="4"/>
        <v>3.4863893488255435</v>
      </c>
      <c r="R11" s="3">
        <f t="shared" si="5"/>
        <v>-85.071579131103505</v>
      </c>
      <c r="S11" s="3">
        <f t="shared" si="6"/>
        <v>-50.788465252333303</v>
      </c>
      <c r="T11" s="3">
        <f t="shared" si="7"/>
        <v>34.283113878770202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-5.8191680000000003</v>
      </c>
      <c r="G12" s="3">
        <f>VLOOKUP($A12,'Summary Data (40)'!$C$2:$L$249,6,1)</f>
        <v>1.727573</v>
      </c>
      <c r="H12" s="3">
        <f>VLOOKUP($A12,'Summary Data (40)'!$C$2:$L$249,7,1)</f>
        <v>0.12813350000000001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6.3865255400762511</v>
      </c>
      <c r="N12" s="3">
        <f t="shared" si="1"/>
        <v>4.3730146903533553</v>
      </c>
      <c r="O12" s="3">
        <f t="shared" si="2"/>
        <v>4.3329067610554466</v>
      </c>
      <c r="P12" s="3">
        <f t="shared" si="3"/>
        <v>4.010792929790874E-2</v>
      </c>
      <c r="Q12" s="5">
        <f t="shared" si="4"/>
        <v>9.2565872080152736E-3</v>
      </c>
      <c r="R12" s="3">
        <f t="shared" si="5"/>
        <v>-19.074748100261683</v>
      </c>
      <c r="S12" s="3">
        <f t="shared" si="6"/>
        <v>-113.44904012153617</v>
      </c>
      <c r="T12" s="3">
        <f t="shared" si="7"/>
        <v>94.374292021274485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3.0862989999999999</v>
      </c>
      <c r="G13" s="3">
        <f>VLOOKUP($A13,'Summary Data (40)'!$C$2:$L$249,6,1)</f>
        <v>1.7434289999999999</v>
      </c>
      <c r="H13" s="3">
        <f>VLOOKUP($A13,'Summary Data (40)'!$C$2:$L$249,7,1)</f>
        <v>0.62265060000000005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6.1610662735829553</v>
      </c>
      <c r="N13" s="3">
        <f t="shared" si="1"/>
        <v>4.9852042216825341</v>
      </c>
      <c r="O13" s="3">
        <f t="shared" si="2"/>
        <v>4.3718971854333439</v>
      </c>
      <c r="P13" s="3">
        <f t="shared" si="3"/>
        <v>0.61330703624919014</v>
      </c>
      <c r="Q13" s="5">
        <f t="shared" si="4"/>
        <v>0.14028395688092993</v>
      </c>
      <c r="R13" s="3">
        <f t="shared" si="5"/>
        <v>177.02371934116897</v>
      </c>
      <c r="S13" s="3">
        <f t="shared" si="6"/>
        <v>94.944760801062856</v>
      </c>
      <c r="T13" s="3">
        <f t="shared" si="7"/>
        <v>82.078958540106115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4.5132139999999996</v>
      </c>
      <c r="G14" s="3">
        <f>VLOOKUP($A14,'Summary Data (40)'!$C$2:$L$249,6,1)</f>
        <v>1.738944</v>
      </c>
      <c r="H14" s="3">
        <f>VLOOKUP($A14,'Summary Data (40)'!$C$2:$L$249,7,1)</f>
        <v>-2.538583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4.502353966058755</v>
      </c>
      <c r="N14" s="3">
        <f t="shared" si="1"/>
        <v>8.5693882937864938</v>
      </c>
      <c r="O14" s="3">
        <f t="shared" si="2"/>
        <v>8.0292617967033557</v>
      </c>
      <c r="P14" s="3">
        <f t="shared" si="3"/>
        <v>0.54012649708313809</v>
      </c>
      <c r="Q14" s="5">
        <f t="shared" si="4"/>
        <v>6.726975788794215E-2</v>
      </c>
      <c r="R14" s="3">
        <f t="shared" si="5"/>
        <v>23.666151625811782</v>
      </c>
      <c r="S14" s="3">
        <f t="shared" si="6"/>
        <v>-7.5947834286590208</v>
      </c>
      <c r="T14" s="3">
        <f t="shared" si="7"/>
        <v>31.260935054470803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0.56727269999999996</v>
      </c>
      <c r="G15" s="3">
        <f>VLOOKUP($A15,'Summary Data (40)'!$C$2:$L$249,6,1)</f>
        <v>1.7394989999999999</v>
      </c>
      <c r="H15" s="3">
        <f>VLOOKUP($A15,'Summary Data (40)'!$C$2:$L$249,7,1)</f>
        <v>-4.1236759999999997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5.2983532719649116</v>
      </c>
      <c r="N15" s="3">
        <f t="shared" si="1"/>
        <v>6.2953908014627089</v>
      </c>
      <c r="O15" s="3">
        <f t="shared" si="2"/>
        <v>1.5015515309172709</v>
      </c>
      <c r="P15" s="3">
        <f t="shared" si="3"/>
        <v>4.7938392705454378</v>
      </c>
      <c r="Q15" s="5">
        <f t="shared" si="4"/>
        <v>3.1925905783712714</v>
      </c>
      <c r="R15" s="3">
        <f t="shared" si="5"/>
        <v>-85.071579131103505</v>
      </c>
      <c r="S15" s="3">
        <f t="shared" si="6"/>
        <v>-42.015155342862549</v>
      </c>
      <c r="T15" s="3">
        <f t="shared" si="7"/>
        <v>43.056423788240956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-0.78655050000000004</v>
      </c>
      <c r="G16" s="3">
        <f>VLOOKUP($A16,'Summary Data (40)'!$C$2:$L$249,6,1)</f>
        <v>1.7397549999999999</v>
      </c>
      <c r="H16" s="3">
        <f>VLOOKUP($A16,'Summary Data (40)'!$C$2:$L$249,7,1)</f>
        <v>8.1926179999999995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5.5271936943601174</v>
      </c>
      <c r="N16" s="3">
        <f t="shared" si="1"/>
        <v>5.2214879454016021</v>
      </c>
      <c r="O16" s="3">
        <f t="shared" si="2"/>
        <v>4.3329067610554466</v>
      </c>
      <c r="P16" s="3">
        <f t="shared" si="3"/>
        <v>0.88858118434615552</v>
      </c>
      <c r="Q16" s="5">
        <f t="shared" si="4"/>
        <v>0.20507738415532101</v>
      </c>
      <c r="R16" s="3">
        <f t="shared" si="5"/>
        <v>-19.074748100261683</v>
      </c>
      <c r="S16" s="3">
        <f t="shared" si="6"/>
        <v>50.908718376378822</v>
      </c>
      <c r="T16" s="3">
        <f t="shared" si="7"/>
        <v>69.983466476640501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-4.6038759999999996</v>
      </c>
      <c r="G17" s="3">
        <f>VLOOKUP($A17,'Summary Data (40)'!$C$2:$L$249,6,1)</f>
        <v>1.7432369999999999</v>
      </c>
      <c r="H17" s="3">
        <f>VLOOKUP($A17,'Summary Data (40)'!$C$2:$L$249,7,1)</f>
        <v>4.7133649999999996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4.6496685286804045</v>
      </c>
      <c r="N17" s="3">
        <f t="shared" si="1"/>
        <v>10.081433354072276</v>
      </c>
      <c r="O17" s="3">
        <f t="shared" si="2"/>
        <v>8.0641771433916301</v>
      </c>
      <c r="P17" s="3">
        <f t="shared" si="3"/>
        <v>2.017256210680646</v>
      </c>
      <c r="Q17" s="5">
        <f t="shared" si="4"/>
        <v>0.2501502849963721</v>
      </c>
      <c r="R17" s="3">
        <f t="shared" si="5"/>
        <v>174.57078263739461</v>
      </c>
      <c r="S17" s="3">
        <f t="shared" si="6"/>
        <v>147.70452224205715</v>
      </c>
      <c r="T17" s="3">
        <f t="shared" si="7"/>
        <v>26.866260395337463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1.337032</v>
      </c>
      <c r="G18" s="3">
        <f>VLOOKUP($A18,'Summary Data (40)'!$C$2:$L$249,6,1)</f>
        <v>1.738442</v>
      </c>
      <c r="H18" s="3">
        <f>VLOOKUP($A18,'Summary Data (40)'!$C$2:$L$249,7,1)</f>
        <v>-3.4039350000000002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3.7575792461701991</v>
      </c>
      <c r="N18" s="3">
        <f t="shared" si="1"/>
        <v>5.6038672335494351</v>
      </c>
      <c r="O18" s="3">
        <f t="shared" si="2"/>
        <v>2.5489458605470614</v>
      </c>
      <c r="P18" s="3">
        <f t="shared" si="3"/>
        <v>3.0549213730023737</v>
      </c>
      <c r="Q18" s="5">
        <f t="shared" si="4"/>
        <v>1.1985038286951761</v>
      </c>
      <c r="R18" s="3">
        <f t="shared" si="5"/>
        <v>-77.654050540796021</v>
      </c>
      <c r="S18" s="3">
        <f t="shared" si="6"/>
        <v>-111.30391041994936</v>
      </c>
      <c r="T18" s="3">
        <f t="shared" si="7"/>
        <v>33.64985987915334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11.639620000000001</v>
      </c>
      <c r="G19" s="3">
        <f>VLOOKUP($A19,'Summary Data (40)'!$C$2:$L$249,6,1)</f>
        <v>1.740737</v>
      </c>
      <c r="H19" s="3">
        <f>VLOOKUP($A19,'Summary Data (40)'!$C$2:$L$249,7,1)</f>
        <v>2.9942259999999998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8.3500219927540318</v>
      </c>
      <c r="N19" s="3">
        <f t="shared" si="1"/>
        <v>16.228547625572535</v>
      </c>
      <c r="O19" s="3">
        <f t="shared" si="2"/>
        <v>8.0292617967033557</v>
      </c>
      <c r="P19" s="3">
        <f t="shared" si="3"/>
        <v>8.1992858288691792</v>
      </c>
      <c r="Q19" s="5">
        <f t="shared" si="4"/>
        <v>1.021175549691957</v>
      </c>
      <c r="R19" s="3">
        <f t="shared" si="5"/>
        <v>23.666151625811782</v>
      </c>
      <c r="S19" s="3">
        <f t="shared" si="6"/>
        <v>15.732179295091589</v>
      </c>
      <c r="T19" s="3">
        <f t="shared" si="7"/>
        <v>7.9339723307201933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-1.732701</v>
      </c>
      <c r="G20" s="3">
        <f>VLOOKUP($A20,'Summary Data (40)'!$C$2:$L$249,6,1)</f>
        <v>1.739493</v>
      </c>
      <c r="H20" s="3">
        <f>VLOOKUP($A20,'Summary Data (40)'!$C$2:$L$249,7,1)</f>
        <v>-1.253471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6.0909959519968497</v>
      </c>
      <c r="N20" s="3">
        <f t="shared" si="1"/>
        <v>4.3449086001021939</v>
      </c>
      <c r="O20" s="3">
        <f t="shared" si="2"/>
        <v>7.8871175977032326</v>
      </c>
      <c r="P20" s="3">
        <f t="shared" si="3"/>
        <v>-3.5422089976010387</v>
      </c>
      <c r="Q20" s="5">
        <f t="shared" si="4"/>
        <v>-0.44911324748505682</v>
      </c>
      <c r="R20" s="3">
        <f t="shared" si="5"/>
        <v>-63.65586590726528</v>
      </c>
      <c r="S20" s="3">
        <f t="shared" si="6"/>
        <v>-113.73276237116536</v>
      </c>
      <c r="T20" s="3">
        <f t="shared" si="7"/>
        <v>50.076896463900084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1.797777</v>
      </c>
      <c r="G21" s="3">
        <f>VLOOKUP($A21,'Summary Data (40)'!$C$2:$L$249,6,1)</f>
        <v>1.7312019999999999</v>
      </c>
      <c r="H21" s="3">
        <f>VLOOKUP($A21,'Summary Data (40)'!$C$2:$L$249,7,1)</f>
        <v>-5.4978550000000004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5.2701585688434465</v>
      </c>
      <c r="N21" s="3">
        <f t="shared" si="1"/>
        <v>7.4825417587043246</v>
      </c>
      <c r="O21" s="3">
        <f t="shared" si="2"/>
        <v>2.5489458605470614</v>
      </c>
      <c r="P21" s="3">
        <f t="shared" si="3"/>
        <v>4.9335958981572627</v>
      </c>
      <c r="Q21" s="5">
        <f t="shared" si="4"/>
        <v>1.9355436200196114</v>
      </c>
      <c r="R21" s="3">
        <f t="shared" si="5"/>
        <v>-77.654050540796021</v>
      </c>
      <c r="S21" s="3">
        <f t="shared" si="6"/>
        <v>-102.15281405954268</v>
      </c>
      <c r="T21" s="3">
        <f t="shared" si="7"/>
        <v>24.498763518746657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1.2200869999999999</v>
      </c>
      <c r="G22" s="3">
        <f>VLOOKUP($A22,'Summary Data (40)'!$C$2:$L$249,6,1)</f>
        <v>1.730148</v>
      </c>
      <c r="H22" s="3">
        <f>VLOOKUP($A22,'Summary Data (40)'!$C$2:$L$249,7,1)</f>
        <v>-0.94458019999999998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5.2215145516795252</v>
      </c>
      <c r="N22" s="3">
        <f t="shared" si="1"/>
        <v>5.4295656932945429</v>
      </c>
      <c r="O22" s="3">
        <f t="shared" si="2"/>
        <v>1.5015515309172709</v>
      </c>
      <c r="P22" s="3">
        <f t="shared" si="3"/>
        <v>3.9280141623772717</v>
      </c>
      <c r="Q22" s="5">
        <f t="shared" si="4"/>
        <v>2.6159702690840843</v>
      </c>
      <c r="R22" s="3">
        <f t="shared" si="5"/>
        <v>-85.071579131103505</v>
      </c>
      <c r="S22" s="3">
        <f t="shared" si="6"/>
        <v>-10.984630227930523</v>
      </c>
      <c r="T22" s="3">
        <f t="shared" si="7"/>
        <v>74.086948903172981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-1.303558</v>
      </c>
      <c r="G23" s="3">
        <f>VLOOKUP($A23,'Summary Data (40)'!$C$2:$L$249,6,1)</f>
        <v>1.7350509999999999</v>
      </c>
      <c r="H23" s="3">
        <f>VLOOKUP($A23,'Summary Data (40)'!$C$2:$L$249,7,1)</f>
        <v>1.038743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5.175654619602529</v>
      </c>
      <c r="N23" s="3">
        <f t="shared" si="1"/>
        <v>7.2250994124242336</v>
      </c>
      <c r="O23" s="3">
        <f t="shared" si="2"/>
        <v>4.3718971854333439</v>
      </c>
      <c r="P23" s="3">
        <f t="shared" si="3"/>
        <v>2.8532022269908897</v>
      </c>
      <c r="Q23" s="5">
        <f t="shared" si="4"/>
        <v>0.65262335914427028</v>
      </c>
      <c r="R23" s="3">
        <f t="shared" si="5"/>
        <v>177.02371934116897</v>
      </c>
      <c r="S23" s="3">
        <f t="shared" si="6"/>
        <v>131.84037873418038</v>
      </c>
      <c r="T23" s="3">
        <f t="shared" si="7"/>
        <v>45.183340606988594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-7.1746460000000001</v>
      </c>
      <c r="G24" s="3">
        <f>VLOOKUP($A24,'Summary Data (40)'!$C$2:$L$249,6,1)</f>
        <v>1.7363789999999999</v>
      </c>
      <c r="H24" s="3">
        <f>VLOOKUP($A24,'Summary Data (40)'!$C$2:$L$249,7,1)</f>
        <v>10.00295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6.630023141725526</v>
      </c>
      <c r="N24" s="3">
        <f t="shared" si="1"/>
        <v>15.471720493462129</v>
      </c>
      <c r="O24" s="3">
        <f t="shared" si="2"/>
        <v>8.8659173242253964</v>
      </c>
      <c r="P24" s="3">
        <f t="shared" si="3"/>
        <v>6.6058031692367329</v>
      </c>
      <c r="Q24" s="5">
        <f t="shared" si="4"/>
        <v>0.74507836331689159</v>
      </c>
      <c r="R24" s="3">
        <f t="shared" si="5"/>
        <v>111.35858600069317</v>
      </c>
      <c r="S24" s="3">
        <f t="shared" si="6"/>
        <v>114.12869041692161</v>
      </c>
      <c r="T24" s="3">
        <f t="shared" si="7"/>
        <v>2.7701044162284489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-0.89835929999999997</v>
      </c>
      <c r="G25" s="3">
        <f>VLOOKUP($A25,'Summary Data (40)'!$C$2:$L$249,6,1)</f>
        <v>1.7444409999999999</v>
      </c>
      <c r="H25" s="3">
        <f>VLOOKUP($A25,'Summary Data (40)'!$C$2:$L$249,7,1)</f>
        <v>4.383623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5.3618872099313588</v>
      </c>
      <c r="N25" s="3">
        <f t="shared" si="1"/>
        <v>6.9833196311514696</v>
      </c>
      <c r="O25" s="3">
        <f t="shared" si="2"/>
        <v>8.0641771433916301</v>
      </c>
      <c r="P25" s="3">
        <f t="shared" si="3"/>
        <v>-1.0808575122401605</v>
      </c>
      <c r="Q25" s="5">
        <f t="shared" si="4"/>
        <v>-0.13403196544682719</v>
      </c>
      <c r="R25" s="3">
        <f t="shared" si="5"/>
        <v>174.57078263739461</v>
      </c>
      <c r="S25" s="3">
        <f t="shared" si="6"/>
        <v>133.60595521902661</v>
      </c>
      <c r="T25" s="3">
        <f t="shared" si="7"/>
        <v>40.964827418368003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-4.9755539999999998</v>
      </c>
      <c r="G26" s="3">
        <f>VLOOKUP($A26,'Summary Data (40)'!$C$2:$L$249,6,1)</f>
        <v>1.747854</v>
      </c>
      <c r="H26" s="3">
        <f>VLOOKUP($A26,'Summary Data (40)'!$C$2:$L$249,7,1)</f>
        <v>2.2262949999999999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5.0163055730229393</v>
      </c>
      <c r="N26" s="3">
        <f t="shared" si="1"/>
        <v>2.1133092300799237</v>
      </c>
      <c r="O26" s="3">
        <f t="shared" si="2"/>
        <v>4.3329067610554466</v>
      </c>
      <c r="P26" s="3">
        <f t="shared" si="3"/>
        <v>-2.2195975309755229</v>
      </c>
      <c r="Q26" s="5">
        <f t="shared" si="4"/>
        <v>-0.51226524210616853</v>
      </c>
      <c r="R26" s="3">
        <f t="shared" si="5"/>
        <v>-19.074748100261683</v>
      </c>
      <c r="S26" s="3">
        <f t="shared" si="6"/>
        <v>-115.10267791391746</v>
      </c>
      <c r="T26" s="3">
        <f t="shared" si="7"/>
        <v>96.027929813655774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-3.1003790000000002</v>
      </c>
      <c r="G27" s="3">
        <f>VLOOKUP($A27,'Summary Data (40)'!$C$2:$L$249,6,1)</f>
        <v>1.749053</v>
      </c>
      <c r="H27" s="3">
        <f>VLOOKUP($A27,'Summary Data (40)'!$C$2:$L$249,7,1)</f>
        <v>-4.2460500000000003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8.442957637234775</v>
      </c>
      <c r="N27" s="3">
        <f t="shared" si="1"/>
        <v>2.2540762068175515</v>
      </c>
      <c r="O27" s="3">
        <f t="shared" si="2"/>
        <v>8.8659173242253964</v>
      </c>
      <c r="P27" s="3">
        <f t="shared" si="3"/>
        <v>-6.6118411174078453</v>
      </c>
      <c r="Q27" s="5">
        <f t="shared" si="4"/>
        <v>-0.74575939247048117</v>
      </c>
      <c r="R27" s="3">
        <f t="shared" si="5"/>
        <v>111.35858600069317</v>
      </c>
      <c r="S27" s="3">
        <f t="shared" si="6"/>
        <v>-176.7179168064302</v>
      </c>
      <c r="T27" s="3">
        <f t="shared" si="7"/>
        <v>71.923497192876653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4.8719539999999997</v>
      </c>
      <c r="G28" s="3">
        <f>VLOOKUP($A28,'Summary Data (40)'!$C$2:$L$249,6,1)</f>
        <v>1.7313460000000001</v>
      </c>
      <c r="H28" s="3">
        <f>VLOOKUP($A28,'Summary Data (40)'!$C$2:$L$249,7,1)</f>
        <v>2.9174359999999999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3.7150045631482067</v>
      </c>
      <c r="N28" s="3">
        <f t="shared" si="1"/>
        <v>1.8595221117835621</v>
      </c>
      <c r="O28" s="3">
        <f t="shared" si="2"/>
        <v>2.5489458605470614</v>
      </c>
      <c r="P28" s="3">
        <f t="shared" si="3"/>
        <v>-0.68942374876349932</v>
      </c>
      <c r="Q28" s="5">
        <f t="shared" si="4"/>
        <v>-0.27047406515552019</v>
      </c>
      <c r="R28" s="3">
        <f t="shared" si="5"/>
        <v>-77.654050540796021</v>
      </c>
      <c r="S28" s="3">
        <f t="shared" si="6"/>
        <v>36.283730373099495</v>
      </c>
      <c r="T28" s="3">
        <f t="shared" si="7"/>
        <v>113.93778091389552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-0.66661210000000004</v>
      </c>
      <c r="G29" s="3">
        <f>VLOOKUP($A29,'Summary Data (40)'!$C$2:$L$249,6,1)</f>
        <v>1.7308809999999999</v>
      </c>
      <c r="H29" s="3">
        <f>VLOOKUP($A29,'Summary Data (40)'!$C$2:$L$249,7,1)</f>
        <v>-1.9723930000000001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4.7457419324606569</v>
      </c>
      <c r="N29" s="3">
        <f t="shared" si="1"/>
        <v>7.0004099427473108</v>
      </c>
      <c r="O29" s="3">
        <f t="shared" si="2"/>
        <v>4.3329067610554466</v>
      </c>
      <c r="P29" s="3">
        <f t="shared" si="3"/>
        <v>2.6675031816918642</v>
      </c>
      <c r="Q29" s="5">
        <f t="shared" si="4"/>
        <v>0.61563826059393234</v>
      </c>
      <c r="R29" s="3">
        <f t="shared" si="5"/>
        <v>-19.074748100261683</v>
      </c>
      <c r="S29" s="3">
        <f t="shared" si="6"/>
        <v>-60.826528287180381</v>
      </c>
      <c r="T29" s="3">
        <f t="shared" si="7"/>
        <v>41.751780186918694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4.3741560000000002</v>
      </c>
      <c r="G30" s="3">
        <f>VLOOKUP($A30,'Summary Data (40)'!$C$2:$L$249,6,1)</f>
        <v>1.726156</v>
      </c>
      <c r="H30" s="3">
        <f>VLOOKUP($A30,'Summary Data (40)'!$C$2:$L$249,7,1)</f>
        <v>1.470021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7.6489613390823852</v>
      </c>
      <c r="N30" s="3">
        <f t="shared" si="1"/>
        <v>5.8770121582975312</v>
      </c>
      <c r="O30" s="3">
        <f t="shared" si="2"/>
        <v>4.3718971854333439</v>
      </c>
      <c r="P30" s="3">
        <f t="shared" si="3"/>
        <v>1.5051149728641873</v>
      </c>
      <c r="Q30" s="5">
        <f t="shared" si="4"/>
        <v>0.34427044118948091</v>
      </c>
      <c r="R30" s="3">
        <f t="shared" si="5"/>
        <v>177.02371934116897</v>
      </c>
      <c r="S30" s="3">
        <f t="shared" si="6"/>
        <v>81.603702795601961</v>
      </c>
      <c r="T30" s="3">
        <f t="shared" si="7"/>
        <v>95.420016545567009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-2.7219769999999999</v>
      </c>
      <c r="G31" s="3">
        <f>VLOOKUP($A31,'Summary Data (40)'!$C$2:$L$249,6,1)</f>
        <v>1.729595</v>
      </c>
      <c r="H31" s="3">
        <f>VLOOKUP($A31,'Summary Data (40)'!$C$2:$L$249,7,1)</f>
        <v>-7.4940170000000004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6.2168392215673398</v>
      </c>
      <c r="N31" s="3">
        <f t="shared" si="1"/>
        <v>7.7099884373984633</v>
      </c>
      <c r="O31" s="3">
        <f t="shared" si="2"/>
        <v>1.5015515309172709</v>
      </c>
      <c r="P31" s="3">
        <f t="shared" si="3"/>
        <v>6.2084369064811922</v>
      </c>
      <c r="Q31" s="5">
        <f t="shared" si="4"/>
        <v>4.1346812138299169</v>
      </c>
      <c r="R31" s="3">
        <f t="shared" si="5"/>
        <v>-85.071579131103505</v>
      </c>
      <c r="S31" s="3">
        <f t="shared" si="6"/>
        <v>-79.628539753753856</v>
      </c>
      <c r="T31" s="3">
        <f t="shared" si="7"/>
        <v>5.443039377349649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-4.0358640000000001</v>
      </c>
      <c r="G32" s="3">
        <f>VLOOKUP($A32,'Summary Data (40)'!$C$2:$L$249,6,1)</f>
        <v>1.7372080000000001</v>
      </c>
      <c r="H32" s="3">
        <f>VLOOKUP($A32,'Summary Data (40)'!$C$2:$L$249,7,1)</f>
        <v>4.1712920000000002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4.0819652786078429</v>
      </c>
      <c r="N32" s="3">
        <f t="shared" si="1"/>
        <v>9.3129542848528999</v>
      </c>
      <c r="O32" s="3">
        <f t="shared" si="2"/>
        <v>8.0641771433916301</v>
      </c>
      <c r="P32" s="3">
        <f t="shared" si="3"/>
        <v>1.2487771414612698</v>
      </c>
      <c r="Q32" s="5">
        <f t="shared" si="4"/>
        <v>0.15485487474498352</v>
      </c>
      <c r="R32" s="3">
        <f t="shared" si="5"/>
        <v>174.57078263739461</v>
      </c>
      <c r="S32" s="3">
        <f t="shared" si="6"/>
        <v>148.65654214357815</v>
      </c>
      <c r="T32" s="3">
        <f t="shared" si="7"/>
        <v>25.914240493816465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0.35966969999999998</v>
      </c>
      <c r="G33" s="3">
        <f>VLOOKUP($A33,'Summary Data (40)'!$C$2:$L$249,6,1)</f>
        <v>1.7326269999999999</v>
      </c>
      <c r="H33" s="3">
        <f>VLOOKUP($A33,'Summary Data (40)'!$C$2:$L$249,7,1)</f>
        <v>0.15369840000000001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5.4946985231276022</v>
      </c>
      <c r="N33" s="3">
        <f t="shared" si="1"/>
        <v>2.5931755007443384</v>
      </c>
      <c r="O33" s="3">
        <f t="shared" si="2"/>
        <v>7.8871175977032326</v>
      </c>
      <c r="P33" s="3">
        <f t="shared" si="3"/>
        <v>-5.2939420969588937</v>
      </c>
      <c r="Q33" s="5">
        <f t="shared" si="4"/>
        <v>-0.67121379025723105</v>
      </c>
      <c r="R33" s="3">
        <f t="shared" si="5"/>
        <v>-63.65586590726528</v>
      </c>
      <c r="S33" s="3">
        <f t="shared" si="6"/>
        <v>-82.384269895779653</v>
      </c>
      <c r="T33" s="3">
        <f t="shared" si="7"/>
        <v>18.728403988514373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-0.44079020000000002</v>
      </c>
      <c r="G34" s="3">
        <f>VLOOKUP($A34,'Summary Data (40)'!$C$2:$L$249,6,1)</f>
        <v>1.736162</v>
      </c>
      <c r="H34" s="3">
        <f>VLOOKUP($A34,'Summary Data (40)'!$C$2:$L$249,7,1)</f>
        <v>-4.0345950000000004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6.9847089941987592</v>
      </c>
      <c r="N34" s="3">
        <f t="shared" si="1"/>
        <v>4.4093760445261463</v>
      </c>
      <c r="O34" s="3">
        <f t="shared" si="2"/>
        <v>8.0292617967033557</v>
      </c>
      <c r="P34" s="3">
        <f t="shared" si="3"/>
        <v>-3.6198857521772094</v>
      </c>
      <c r="Q34" s="5">
        <f t="shared" si="4"/>
        <v>-0.45083668260305793</v>
      </c>
      <c r="R34" s="3">
        <f t="shared" si="5"/>
        <v>23.666151625811782</v>
      </c>
      <c r="S34" s="3">
        <f t="shared" si="6"/>
        <v>-36.593773963083514</v>
      </c>
      <c r="T34" s="3">
        <f t="shared" si="7"/>
        <v>60.2599255888953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-8.9535900000000002</v>
      </c>
      <c r="G35" s="3">
        <f>VLOOKUP($A35,'Summary Data (40)'!$C$2:$L$249,6,1)</f>
        <v>1.740758</v>
      </c>
      <c r="H35" s="3">
        <f>VLOOKUP($A35,'Summary Data (40)'!$C$2:$L$249,7,1)</f>
        <v>5.2005150000000002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7.0411453367563004</v>
      </c>
      <c r="N35" s="3">
        <f t="shared" si="1"/>
        <v>14.148357063041809</v>
      </c>
      <c r="O35" s="3">
        <f t="shared" si="2"/>
        <v>8.0641771433916301</v>
      </c>
      <c r="P35" s="3">
        <f t="shared" si="3"/>
        <v>6.0841799196501789</v>
      </c>
      <c r="Q35" s="5">
        <f t="shared" si="4"/>
        <v>0.75447002359515325</v>
      </c>
      <c r="R35" s="3">
        <f t="shared" si="5"/>
        <v>174.57078263739461</v>
      </c>
      <c r="S35" s="3">
        <f t="shared" si="6"/>
        <v>155.47201786969458</v>
      </c>
      <c r="T35" s="3">
        <f t="shared" si="7"/>
        <v>19.098764767700033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4.936858</v>
      </c>
      <c r="G36" s="3">
        <f>VLOOKUP($A36,'Summary Data (40)'!$C$2:$L$249,6,1)</f>
        <v>1.7279150000000001</v>
      </c>
      <c r="H36" s="3">
        <f>VLOOKUP($A36,'Summary Data (40)'!$C$2:$L$249,7,1)</f>
        <v>4.0257969999999998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4.8079896912714988</v>
      </c>
      <c r="N36" s="3">
        <f t="shared" si="1"/>
        <v>2.7063695297155927</v>
      </c>
      <c r="O36" s="3">
        <f t="shared" si="2"/>
        <v>2.5489458605470614</v>
      </c>
      <c r="P36" s="3">
        <f t="shared" si="3"/>
        <v>0.15742366916853134</v>
      </c>
      <c r="Q36" s="5">
        <f t="shared" si="4"/>
        <v>6.1760303192451745E-2</v>
      </c>
      <c r="R36" s="3">
        <f t="shared" si="5"/>
        <v>-77.654050540796021</v>
      </c>
      <c r="S36" s="3">
        <f t="shared" si="6"/>
        <v>54.700992648654641</v>
      </c>
      <c r="T36" s="3">
        <f t="shared" si="7"/>
        <v>132.35504318945067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-3.2993980000000001</v>
      </c>
      <c r="G37" s="3">
        <f>VLOOKUP($A37,'Summary Data (40)'!$C$2:$L$249,6,1)</f>
        <v>1.732953</v>
      </c>
      <c r="H37" s="3">
        <f>VLOOKUP($A37,'Summary Data (40)'!$C$2:$L$249,7,1)</f>
        <v>-0.39103890000000002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4.5492121567274939</v>
      </c>
      <c r="N37" s="3">
        <f t="shared" si="1"/>
        <v>4.5976181650629933</v>
      </c>
      <c r="O37" s="3">
        <f t="shared" si="2"/>
        <v>4.3329067610554466</v>
      </c>
      <c r="P37" s="3">
        <f t="shared" si="3"/>
        <v>0.26471140400754667</v>
      </c>
      <c r="Q37" s="5">
        <f t="shared" si="4"/>
        <v>6.109326108440561E-2</v>
      </c>
      <c r="R37" s="3">
        <f t="shared" si="5"/>
        <v>-19.074748100261683</v>
      </c>
      <c r="S37" s="3">
        <f t="shared" si="6"/>
        <v>-80.237384845082602</v>
      </c>
      <c r="T37" s="3">
        <f t="shared" si="7"/>
        <v>61.162636744820915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-2.7766899999999999</v>
      </c>
      <c r="G38" s="3">
        <f>VLOOKUP($A38,'Summary Data (40)'!$C$2:$L$249,6,1)</f>
        <v>1.721948</v>
      </c>
      <c r="H38" s="3">
        <f>VLOOKUP($A38,'Summary Data (40)'!$C$2:$L$249,7,1)</f>
        <v>-2.8313809999999999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7.7088347379653301</v>
      </c>
      <c r="N38" s="3">
        <f t="shared" si="1"/>
        <v>1.8660315032873909</v>
      </c>
      <c r="O38" s="3">
        <f t="shared" si="2"/>
        <v>8.0292617967033557</v>
      </c>
      <c r="P38" s="3">
        <f t="shared" si="3"/>
        <v>-6.1632302934159648</v>
      </c>
      <c r="Q38" s="5">
        <f t="shared" si="4"/>
        <v>-0.76759613143345962</v>
      </c>
      <c r="R38" s="3">
        <f t="shared" si="5"/>
        <v>23.666151625811782</v>
      </c>
      <c r="S38" s="3">
        <f t="shared" si="6"/>
        <v>-49.805401836598534</v>
      </c>
      <c r="T38" s="3">
        <f t="shared" si="7"/>
        <v>73.471553462410313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-1.7454700000000001</v>
      </c>
      <c r="G39" s="3">
        <f>VLOOKUP($A39,'Summary Data (40)'!$C$2:$L$249,6,1)</f>
        <v>1.7380679999999999</v>
      </c>
      <c r="H39" s="3">
        <f>VLOOKUP($A39,'Summary Data (40)'!$C$2:$L$249,7,1)</f>
        <v>4.5257860000000001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5.0266489392731621</v>
      </c>
      <c r="N39" s="3">
        <f t="shared" si="1"/>
        <v>7.6877999658352199</v>
      </c>
      <c r="O39" s="3">
        <f t="shared" si="2"/>
        <v>8.0641771433916301</v>
      </c>
      <c r="P39" s="3">
        <f t="shared" si="3"/>
        <v>-0.3763771775564102</v>
      </c>
      <c r="Q39" s="5">
        <f t="shared" si="4"/>
        <v>-4.6672731868848003E-2</v>
      </c>
      <c r="R39" s="3">
        <f t="shared" si="5"/>
        <v>174.57078263739461</v>
      </c>
      <c r="S39" s="3">
        <f t="shared" si="6"/>
        <v>137.44960236685048</v>
      </c>
      <c r="T39" s="3">
        <f t="shared" si="7"/>
        <v>37.12118027054413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-1.4981979999999999</v>
      </c>
      <c r="G40" s="3">
        <f>VLOOKUP($A40,'Summary Data (40)'!$C$2:$L$249,6,1)</f>
        <v>1.7355640000000001</v>
      </c>
      <c r="H40" s="3">
        <f>VLOOKUP($A40,'Summary Data (40)'!$C$2:$L$249,7,1)</f>
        <v>-4.0039709999999999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5.0257140093766779</v>
      </c>
      <c r="N40" s="3">
        <f t="shared" si="1"/>
        <v>6.8962590844634741</v>
      </c>
      <c r="O40" s="3">
        <f t="shared" si="2"/>
        <v>7.8871175977032326</v>
      </c>
      <c r="P40" s="3">
        <f t="shared" si="3"/>
        <v>-0.99085851323975849</v>
      </c>
      <c r="Q40" s="5">
        <f t="shared" si="4"/>
        <v>-0.12562999105380415</v>
      </c>
      <c r="R40" s="3">
        <f t="shared" si="5"/>
        <v>-63.65586590726528</v>
      </c>
      <c r="S40" s="3">
        <f t="shared" si="6"/>
        <v>-102.68366240988694</v>
      </c>
      <c r="T40" s="3">
        <f t="shared" si="7"/>
        <v>39.027796502621655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-0.24484420000000001</v>
      </c>
      <c r="G41" s="3">
        <f>VLOOKUP($A41,'Summary Data (40)'!$C$2:$L$249,6,1)</f>
        <v>1.738826</v>
      </c>
      <c r="H41" s="3">
        <f>VLOOKUP($A41,'Summary Data (40)'!$C$2:$L$249,7,1)</f>
        <v>-4.7533390000000004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9.6846388300026263</v>
      </c>
      <c r="N41" s="3">
        <f t="shared" si="1"/>
        <v>0.87814626640135551</v>
      </c>
      <c r="O41" s="3">
        <f t="shared" si="2"/>
        <v>8.8659173242253964</v>
      </c>
      <c r="P41" s="3">
        <f t="shared" si="3"/>
        <v>-7.9877710578240411</v>
      </c>
      <c r="Q41" s="5">
        <f t="shared" si="4"/>
        <v>-0.90095257667225337</v>
      </c>
      <c r="R41" s="3">
        <f t="shared" si="5"/>
        <v>111.35858600069317</v>
      </c>
      <c r="S41" s="3">
        <f t="shared" si="6"/>
        <v>-46.438822108503551</v>
      </c>
      <c r="T41" s="3">
        <f t="shared" si="7"/>
        <v>157.79740810919671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0.57747317659229391</v>
      </c>
      <c r="T42" s="3">
        <f>AVERAGE(T2:T41)</f>
        <v>50.301879721479565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2017-09-13T11:00:45Z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