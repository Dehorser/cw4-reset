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14 DKAF\"/>
    </mc:Choice>
  </mc:AlternateContent>
  <bookViews>
    <workbookView xWindow="0" yWindow="0" windowWidth="28800" windowHeight="12210" tabRatio="500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E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B36" i="3"/>
  <c r="E36" i="3" s="1"/>
  <c r="U35" i="3"/>
  <c r="I35" i="3"/>
  <c r="L35" i="3" s="1"/>
  <c r="H35" i="3"/>
  <c r="G35" i="3"/>
  <c r="F35" i="3"/>
  <c r="E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C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C13" i="3" l="1"/>
  <c r="J18" i="3"/>
  <c r="D4" i="3"/>
  <c r="C12" i="3"/>
  <c r="D13" i="3"/>
  <c r="C39" i="3"/>
  <c r="D36" i="3"/>
  <c r="L40" i="3"/>
  <c r="D3" i="3"/>
  <c r="L7" i="3"/>
  <c r="L9" i="3"/>
  <c r="E12" i="3"/>
  <c r="N12" i="3" s="1"/>
  <c r="C22" i="3"/>
  <c r="C28" i="3"/>
  <c r="J29" i="3"/>
  <c r="J5" i="3"/>
  <c r="M5" i="3" s="1"/>
  <c r="E22" i="3"/>
  <c r="L25" i="3"/>
  <c r="E28" i="3"/>
  <c r="K29" i="3"/>
  <c r="D35" i="3"/>
  <c r="C36" i="3"/>
  <c r="L3" i="3"/>
  <c r="K17" i="3"/>
  <c r="C40" i="3"/>
  <c r="N40" i="3" s="1"/>
  <c r="J4" i="3"/>
  <c r="C9" i="3"/>
  <c r="N9" i="3" s="1"/>
  <c r="L4" i="3"/>
  <c r="M4" i="3" s="1"/>
  <c r="D8" i="3"/>
  <c r="D9" i="3"/>
  <c r="S13" i="3"/>
  <c r="J13" i="3"/>
  <c r="O13" i="3" s="1"/>
  <c r="P13" i="3" s="1"/>
  <c r="Q13" i="3" s="1"/>
  <c r="J14" i="3"/>
  <c r="E15" i="3"/>
  <c r="L16" i="3"/>
  <c r="L20" i="3"/>
  <c r="J25" i="3"/>
  <c r="C32" i="3"/>
  <c r="N32" i="3" s="1"/>
  <c r="E33" i="3"/>
  <c r="J36" i="3"/>
  <c r="M36" i="3" s="1"/>
  <c r="J40" i="3"/>
  <c r="D16" i="3"/>
  <c r="K21" i="3"/>
  <c r="J27" i="3"/>
  <c r="J7" i="3"/>
  <c r="J9" i="3"/>
  <c r="K10" i="3"/>
  <c r="L13" i="3"/>
  <c r="K14" i="3"/>
  <c r="E19" i="3"/>
  <c r="K24" i="3"/>
  <c r="J31" i="3"/>
  <c r="E32" i="3"/>
  <c r="L36" i="3"/>
  <c r="K37" i="3"/>
  <c r="E2" i="3"/>
  <c r="E3" i="3"/>
  <c r="S3" i="3" s="1"/>
  <c r="J6" i="3"/>
  <c r="E8" i="3"/>
  <c r="S8" i="3" s="1"/>
  <c r="L12" i="3"/>
  <c r="E16" i="3"/>
  <c r="C17" i="3"/>
  <c r="O17" i="3" s="1"/>
  <c r="L17" i="3"/>
  <c r="M17" i="3" s="1"/>
  <c r="C20" i="3"/>
  <c r="N20" i="3" s="1"/>
  <c r="L21" i="3"/>
  <c r="J23" i="3"/>
  <c r="M23" i="3" s="1"/>
  <c r="C24" i="3"/>
  <c r="S24" i="3" s="1"/>
  <c r="C26" i="3"/>
  <c r="D27" i="3"/>
  <c r="N28" i="3"/>
  <c r="K28" i="3"/>
  <c r="C30" i="3"/>
  <c r="N30" i="3" s="1"/>
  <c r="D31" i="3"/>
  <c r="S32" i="3"/>
  <c r="K32" i="3"/>
  <c r="J33" i="3"/>
  <c r="S36" i="3"/>
  <c r="D40" i="3"/>
  <c r="J41" i="3"/>
  <c r="M41" i="3" s="1"/>
  <c r="S4" i="3"/>
  <c r="S9" i="3"/>
  <c r="N3" i="3"/>
  <c r="K6" i="3"/>
  <c r="S12" i="3"/>
  <c r="N13" i="3"/>
  <c r="N16" i="3"/>
  <c r="D17" i="3"/>
  <c r="D20" i="3"/>
  <c r="L23" i="3"/>
  <c r="D24" i="3"/>
  <c r="E26" i="3"/>
  <c r="S28" i="3"/>
  <c r="E30" i="3"/>
  <c r="K33" i="3"/>
  <c r="K41" i="3"/>
  <c r="K5" i="3"/>
  <c r="J10" i="3"/>
  <c r="M10" i="3" s="1"/>
  <c r="E11" i="3"/>
  <c r="K18" i="3"/>
  <c r="L27" i="3"/>
  <c r="L31" i="3"/>
  <c r="J37" i="3"/>
  <c r="M37" i="3" s="1"/>
  <c r="S40" i="3"/>
  <c r="Z5" i="3"/>
  <c r="X5" i="3"/>
  <c r="Z2" i="3"/>
  <c r="X2" i="3"/>
  <c r="X3" i="3"/>
  <c r="Z3" i="3"/>
  <c r="Y3" i="3"/>
  <c r="Y5" i="3"/>
  <c r="X4" i="3"/>
  <c r="Z4" i="3"/>
  <c r="X6" i="3"/>
  <c r="Z6" i="3"/>
  <c r="N4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D5" i="3"/>
  <c r="C6" i="3"/>
  <c r="M6" i="3"/>
  <c r="D7" i="3"/>
  <c r="O9" i="3"/>
  <c r="C10" i="3"/>
  <c r="O10" i="3" s="1"/>
  <c r="E10" i="3"/>
  <c r="D10" i="3"/>
  <c r="W13" i="3"/>
  <c r="S16" i="3"/>
  <c r="V18" i="3"/>
  <c r="Y18" i="3" s="1"/>
  <c r="S22" i="3"/>
  <c r="L2" i="3"/>
  <c r="M2" i="3" s="1"/>
  <c r="E5" i="3"/>
  <c r="E6" i="3"/>
  <c r="E7" i="3"/>
  <c r="N7" i="3" s="1"/>
  <c r="J11" i="3"/>
  <c r="L11" i="3"/>
  <c r="K11" i="3"/>
  <c r="C14" i="3"/>
  <c r="E14" i="3"/>
  <c r="D14" i="3"/>
  <c r="W17" i="3"/>
  <c r="S20" i="3"/>
  <c r="N5" i="3"/>
  <c r="U7" i="3"/>
  <c r="K8" i="3"/>
  <c r="J8" i="3"/>
  <c r="V10" i="3"/>
  <c r="Y10" i="3" s="1"/>
  <c r="M14" i="3"/>
  <c r="J15" i="3"/>
  <c r="L15" i="3"/>
  <c r="K15" i="3"/>
  <c r="C18" i="3"/>
  <c r="S18" i="3" s="1"/>
  <c r="E18" i="3"/>
  <c r="D18" i="3"/>
  <c r="M21" i="3"/>
  <c r="W22" i="3"/>
  <c r="M25" i="3"/>
  <c r="V7" i="3"/>
  <c r="L8" i="3"/>
  <c r="W9" i="3"/>
  <c r="V14" i="3"/>
  <c r="Y14" i="3" s="1"/>
  <c r="M18" i="3"/>
  <c r="J19" i="3"/>
  <c r="L19" i="3"/>
  <c r="K19" i="3"/>
  <c r="L22" i="3"/>
  <c r="J22" i="3"/>
  <c r="K22" i="3"/>
  <c r="M9" i="3"/>
  <c r="C11" i="3"/>
  <c r="J12" i="3"/>
  <c r="M13" i="3"/>
  <c r="C15" i="3"/>
  <c r="J16" i="3"/>
  <c r="C19" i="3"/>
  <c r="N19" i="3" s="1"/>
  <c r="J20" i="3"/>
  <c r="C21" i="3"/>
  <c r="S21" i="3" s="1"/>
  <c r="E23" i="3"/>
  <c r="C23" i="3"/>
  <c r="J26" i="3"/>
  <c r="L26" i="3"/>
  <c r="K26" i="3"/>
  <c r="D21" i="3"/>
  <c r="C25" i="3"/>
  <c r="S25" i="3" s="1"/>
  <c r="E25" i="3"/>
  <c r="D25" i="3"/>
  <c r="N22" i="3"/>
  <c r="D29" i="3"/>
  <c r="K30" i="3"/>
  <c r="N35" i="3"/>
  <c r="N39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O33" i="3" s="1"/>
  <c r="D34" i="3"/>
  <c r="C34" i="3"/>
  <c r="N34" i="3" s="1"/>
  <c r="S35" i="3"/>
  <c r="E37" i="3"/>
  <c r="O37" i="3" s="1"/>
  <c r="D37" i="3"/>
  <c r="D38" i="3"/>
  <c r="C38" i="3"/>
  <c r="N38" i="3" s="1"/>
  <c r="S39" i="3"/>
  <c r="E41" i="3"/>
  <c r="D41" i="3"/>
  <c r="L34" i="3"/>
  <c r="K34" i="3"/>
  <c r="L38" i="3"/>
  <c r="K38" i="3"/>
  <c r="M33" i="3"/>
  <c r="S34" i="3"/>
  <c r="J34" i="3"/>
  <c r="K35" i="3"/>
  <c r="J35" i="3"/>
  <c r="N36" i="3"/>
  <c r="R36" i="3"/>
  <c r="T36" i="3" s="1"/>
  <c r="J38" i="3"/>
  <c r="K39" i="3"/>
  <c r="J39" i="3"/>
  <c r="M40" i="3"/>
  <c r="O5" i="3" l="1"/>
  <c r="R4" i="3"/>
  <c r="T4" i="3" s="1"/>
  <c r="M27" i="3"/>
  <c r="M7" i="3"/>
  <c r="R40" i="3"/>
  <c r="T40" i="3" s="1"/>
  <c r="O40" i="3"/>
  <c r="P40" i="3" s="1"/>
  <c r="Q40" i="3" s="1"/>
  <c r="O27" i="3"/>
  <c r="N11" i="3"/>
  <c r="N17" i="3"/>
  <c r="O36" i="3"/>
  <c r="P36" i="3" s="1"/>
  <c r="Q36" i="3" s="1"/>
  <c r="R13" i="3"/>
  <c r="T13" i="3" s="1"/>
  <c r="O4" i="3"/>
  <c r="N15" i="3"/>
  <c r="N8" i="3"/>
  <c r="P9" i="3"/>
  <c r="Q9" i="3" s="1"/>
  <c r="O7" i="3"/>
  <c r="P7" i="3" s="1"/>
  <c r="Q7" i="3" s="1"/>
  <c r="N14" i="3"/>
  <c r="S38" i="3"/>
  <c r="O18" i="3"/>
  <c r="R9" i="3"/>
  <c r="T9" i="3" s="1"/>
  <c r="S6" i="3"/>
  <c r="P17" i="3"/>
  <c r="Q17" i="3" s="1"/>
  <c r="O41" i="3"/>
  <c r="S31" i="3"/>
  <c r="S10" i="3"/>
  <c r="M31" i="3"/>
  <c r="S17" i="3"/>
  <c r="S30" i="3"/>
  <c r="S26" i="3"/>
  <c r="R17" i="3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O39" i="3"/>
  <c r="R39" i="3"/>
  <c r="T39" i="3" s="1"/>
  <c r="M39" i="3"/>
  <c r="O32" i="3"/>
  <c r="R32" i="3"/>
  <c r="T32" i="3" s="1"/>
  <c r="M32" i="3"/>
  <c r="R30" i="3"/>
  <c r="T30" i="3" s="1"/>
  <c r="N33" i="3"/>
  <c r="P33" i="3" s="1"/>
  <c r="Q33" i="3" s="1"/>
  <c r="R22" i="3"/>
  <c r="T22" i="3" s="1"/>
  <c r="M22" i="3"/>
  <c r="O22" i="3"/>
  <c r="P22" i="3" s="1"/>
  <c r="Q22" i="3" s="1"/>
  <c r="R19" i="3"/>
  <c r="O19" i="3"/>
  <c r="P19" i="3" s="1"/>
  <c r="Q19" i="3" s="1"/>
  <c r="M19" i="3"/>
  <c r="O25" i="3"/>
  <c r="Z22" i="3"/>
  <c r="X22" i="3"/>
  <c r="R11" i="3"/>
  <c r="O11" i="3"/>
  <c r="M11" i="3"/>
  <c r="N10" i="3"/>
  <c r="P10" i="3" s="1"/>
  <c r="Q10" i="3" s="1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N2" i="3"/>
  <c r="O2" i="3"/>
  <c r="R7" i="3"/>
  <c r="T7" i="3" s="1"/>
  <c r="O34" i="3"/>
  <c r="P34" i="3" s="1"/>
  <c r="Q34" i="3" s="1"/>
  <c r="R34" i="3"/>
  <c r="T34" i="3" s="1"/>
  <c r="M34" i="3"/>
  <c r="R24" i="3"/>
  <c r="T24" i="3" s="1"/>
  <c r="M24" i="3"/>
  <c r="O24" i="3"/>
  <c r="S41" i="3"/>
  <c r="R41" i="3"/>
  <c r="O29" i="3"/>
  <c r="R26" i="3"/>
  <c r="T26" i="3" s="1"/>
  <c r="O26" i="3"/>
  <c r="M26" i="3"/>
  <c r="N25" i="3"/>
  <c r="R21" i="3"/>
  <c r="T21" i="3" s="1"/>
  <c r="O8" i="3"/>
  <c r="P8" i="3" s="1"/>
  <c r="Q8" i="3" s="1"/>
  <c r="R8" i="3"/>
  <c r="T8" i="3" s="1"/>
  <c r="M8" i="3"/>
  <c r="X13" i="3"/>
  <c r="Z13" i="3"/>
  <c r="T6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T10" i="3" s="1"/>
  <c r="N18" i="3"/>
  <c r="P18" i="3" s="1"/>
  <c r="Q18" i="3" s="1"/>
  <c r="R25" i="3"/>
  <c r="T25" i="3" s="1"/>
  <c r="O38" i="3"/>
  <c r="P38" i="3" s="1"/>
  <c r="Q38" i="3" s="1"/>
  <c r="R38" i="3"/>
  <c r="T38" i="3" s="1"/>
  <c r="M38" i="3"/>
  <c r="N29" i="3"/>
  <c r="O28" i="3"/>
  <c r="P28" i="3" s="1"/>
  <c r="Q28" i="3" s="1"/>
  <c r="R28" i="3"/>
  <c r="T28" i="3" s="1"/>
  <c r="M28" i="3"/>
  <c r="P39" i="3"/>
  <c r="Q39" i="3" s="1"/>
  <c r="R31" i="3"/>
  <c r="R27" i="3"/>
  <c r="R37" i="3"/>
  <c r="O30" i="3"/>
  <c r="P30" i="3" s="1"/>
  <c r="Q30" i="3" s="1"/>
  <c r="N41" i="3"/>
  <c r="M20" i="3"/>
  <c r="O20" i="3"/>
  <c r="P20" i="3" s="1"/>
  <c r="Q20" i="3" s="1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T12" i="3" s="1"/>
  <c r="R23" i="3"/>
  <c r="T23" i="3" s="1"/>
  <c r="Y7" i="3"/>
  <c r="N21" i="3"/>
  <c r="R15" i="3"/>
  <c r="O15" i="3"/>
  <c r="P15" i="3" s="1"/>
  <c r="Q15" i="3" s="1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P4" i="3"/>
  <c r="Q4" i="3" s="1"/>
  <c r="O6" i="3"/>
  <c r="R2" i="3"/>
  <c r="R14" i="3"/>
  <c r="O35" i="3"/>
  <c r="P35" i="3" s="1"/>
  <c r="Q35" i="3" s="1"/>
  <c r="R35" i="3"/>
  <c r="T35" i="3" s="1"/>
  <c r="M35" i="3"/>
  <c r="P32" i="3"/>
  <c r="Q32" i="3" s="1"/>
  <c r="S37" i="3"/>
  <c r="N27" i="3"/>
  <c r="P27" i="3" s="1"/>
  <c r="Q27" i="3" s="1"/>
  <c r="N37" i="3"/>
  <c r="P37" i="3" s="1"/>
  <c r="Q37" i="3" s="1"/>
  <c r="R33" i="3"/>
  <c r="X9" i="3"/>
  <c r="Z9" i="3"/>
  <c r="O14" i="3"/>
  <c r="P14" i="3" s="1"/>
  <c r="Q14" i="3" s="1"/>
  <c r="P5" i="3"/>
  <c r="Q5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T33" i="3" l="1"/>
  <c r="T27" i="3"/>
  <c r="P25" i="3"/>
  <c r="Q25" i="3" s="1"/>
  <c r="T11" i="3"/>
  <c r="T31" i="3"/>
  <c r="T5" i="3"/>
  <c r="P6" i="3"/>
  <c r="Q6" i="3" s="1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Q42" i="3" s="1"/>
  <c r="T42" i="3" l="1"/>
</calcChain>
</file>

<file path=xl/sharedStrings.xml><?xml version="1.0" encoding="utf-8"?>
<sst xmlns="http://schemas.openxmlformats.org/spreadsheetml/2006/main" count="394" uniqueCount="37">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</sst>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1"/>
  <sheetViews>
    <sheetView tabSelected="1" zoomScaleNormal="100" workbookViewId="0">
      <selection sqref="A1:L121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42965.836157407408</v>
      </c>
      <c r="B2">
        <v>1354.7760000000001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1.714753</v>
      </c>
      <c r="I2">
        <v>-4.117</v>
      </c>
      <c r="J2">
        <v>0.32949050000000002</v>
      </c>
      <c r="K2">
        <v>10.15279</v>
      </c>
      <c r="L2">
        <v>357.71800000000002</v>
      </c>
    </row>
    <row r="3" spans="1:12" x14ac:dyDescent="0.2">
      <c r="A3" s="1">
        <v>42965.836446759262</v>
      </c>
      <c r="B3">
        <v>1380.415</v>
      </c>
      <c r="C3">
        <v>0</v>
      </c>
      <c r="D3" t="s">
        <v>35</v>
      </c>
      <c r="E3" t="s">
        <v>0</v>
      </c>
      <c r="F3" t="s">
        <v>1</v>
      </c>
      <c r="G3">
        <v>-0.77690250000000005</v>
      </c>
      <c r="H3">
        <v>1.7132160000000001</v>
      </c>
      <c r="I3">
        <v>-4.4108359999999998</v>
      </c>
      <c r="J3">
        <v>1.19245</v>
      </c>
      <c r="K3">
        <v>287.73020000000002</v>
      </c>
      <c r="L3">
        <v>357.27300000000002</v>
      </c>
    </row>
    <row r="4" spans="1:12" x14ac:dyDescent="0.2">
      <c r="A4" s="1">
        <v>42965.836863425924</v>
      </c>
      <c r="B4">
        <v>1416.413</v>
      </c>
      <c r="C4">
        <v>0</v>
      </c>
      <c r="D4" t="s">
        <v>36</v>
      </c>
      <c r="E4" t="s">
        <v>0</v>
      </c>
      <c r="F4" t="s">
        <v>1</v>
      </c>
      <c r="G4">
        <v>-3.9301149999999998</v>
      </c>
      <c r="H4">
        <v>1.7182949999999999</v>
      </c>
      <c r="I4">
        <v>0.28768919999999998</v>
      </c>
      <c r="J4">
        <v>1.2279610000000001</v>
      </c>
      <c r="K4">
        <v>193.49369999999999</v>
      </c>
      <c r="L4">
        <v>3.4670999999999998</v>
      </c>
    </row>
    <row r="5" spans="1:12" x14ac:dyDescent="0.2">
      <c r="A5" s="1">
        <v>42965.83730324074</v>
      </c>
      <c r="B5">
        <v>1454.4860000000001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1.7175590000000001</v>
      </c>
      <c r="I5">
        <v>-4.3440000000000003</v>
      </c>
      <c r="J5">
        <v>359.81849999999997</v>
      </c>
      <c r="K5">
        <v>196.4708</v>
      </c>
      <c r="L5">
        <v>358.28739999999999</v>
      </c>
    </row>
    <row r="6" spans="1:12" x14ac:dyDescent="0.2">
      <c r="A6" s="1">
        <v>42965.837418981479</v>
      </c>
      <c r="B6">
        <v>1464.075</v>
      </c>
      <c r="C6">
        <v>1</v>
      </c>
      <c r="D6" t="s">
        <v>35</v>
      </c>
      <c r="E6" t="s">
        <v>2</v>
      </c>
      <c r="F6" t="s">
        <v>0</v>
      </c>
      <c r="G6">
        <v>3.5940020000000001</v>
      </c>
      <c r="H6">
        <v>1.717611</v>
      </c>
      <c r="I6">
        <v>-4.4430810000000003</v>
      </c>
      <c r="J6">
        <v>1.1518219999999999</v>
      </c>
      <c r="K6">
        <v>229.94569999999999</v>
      </c>
      <c r="L6">
        <v>357.84480000000002</v>
      </c>
    </row>
    <row r="7" spans="1:12" x14ac:dyDescent="0.2">
      <c r="A7" s="1">
        <v>42965.83761574074</v>
      </c>
      <c r="B7">
        <v>1480.9110000000001</v>
      </c>
      <c r="C7">
        <v>1</v>
      </c>
      <c r="D7" t="s">
        <v>36</v>
      </c>
      <c r="E7" t="s">
        <v>2</v>
      </c>
      <c r="F7" t="s">
        <v>0</v>
      </c>
      <c r="G7">
        <v>-0.91761230000000005</v>
      </c>
      <c r="H7">
        <v>1.7124280000000001</v>
      </c>
      <c r="I7">
        <v>-6.2310210000000001</v>
      </c>
      <c r="J7">
        <v>2.7028639999999999</v>
      </c>
      <c r="K7">
        <v>290.70839999999998</v>
      </c>
      <c r="L7">
        <v>358.21</v>
      </c>
    </row>
    <row r="8" spans="1:12" x14ac:dyDescent="0.2">
      <c r="A8" s="1">
        <v>42965.837743055556</v>
      </c>
      <c r="B8">
        <v>1492.308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1.7124330000000001</v>
      </c>
      <c r="I8">
        <v>1.8169999999999999</v>
      </c>
      <c r="J8">
        <v>0.59109849999999997</v>
      </c>
      <c r="K8">
        <v>296.13479999999998</v>
      </c>
      <c r="L8">
        <v>358.29230000000001</v>
      </c>
    </row>
    <row r="9" spans="1:12" x14ac:dyDescent="0.2">
      <c r="A9" s="1">
        <v>42965.837858796294</v>
      </c>
      <c r="B9">
        <v>1501.6959999999999</v>
      </c>
      <c r="C9">
        <v>2</v>
      </c>
      <c r="D9" t="s">
        <v>35</v>
      </c>
      <c r="E9" t="s">
        <v>3</v>
      </c>
      <c r="F9" t="s">
        <v>4</v>
      </c>
      <c r="G9">
        <v>3.4654880000000001</v>
      </c>
      <c r="H9">
        <v>1.711214</v>
      </c>
      <c r="I9">
        <v>1.8508260000000001</v>
      </c>
      <c r="J9">
        <v>2.2080880000000001</v>
      </c>
      <c r="K9">
        <v>268.38979999999998</v>
      </c>
      <c r="L9">
        <v>1.235471</v>
      </c>
    </row>
    <row r="10" spans="1:12" x14ac:dyDescent="0.2">
      <c r="A10" s="1">
        <v>42965.838055555556</v>
      </c>
      <c r="B10">
        <v>1519.318</v>
      </c>
      <c r="C10">
        <v>2</v>
      </c>
      <c r="D10" t="s">
        <v>36</v>
      </c>
      <c r="E10" t="s">
        <v>3</v>
      </c>
      <c r="F10" t="s">
        <v>4</v>
      </c>
      <c r="G10">
        <v>6.9906079999999999</v>
      </c>
      <c r="H10">
        <v>1.7229460000000001</v>
      </c>
      <c r="I10">
        <v>0.88515250000000001</v>
      </c>
      <c r="J10">
        <v>2.269002</v>
      </c>
      <c r="K10">
        <v>339.3811</v>
      </c>
      <c r="L10">
        <v>357.07440000000003</v>
      </c>
    </row>
    <row r="11" spans="1:12" x14ac:dyDescent="0.2">
      <c r="A11" s="1">
        <v>42965.838078703702</v>
      </c>
      <c r="B11">
        <v>1521.46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1.719527</v>
      </c>
      <c r="I11">
        <v>4.1399999999999997</v>
      </c>
      <c r="J11">
        <v>1.8608560000000001</v>
      </c>
      <c r="K11">
        <v>343.80939999999998</v>
      </c>
      <c r="L11">
        <v>359.10989999999998</v>
      </c>
    </row>
    <row r="12" spans="1:12" x14ac:dyDescent="0.2">
      <c r="A12" s="1">
        <v>42965.838171296295</v>
      </c>
      <c r="B12">
        <v>1528.873</v>
      </c>
      <c r="C12">
        <v>3</v>
      </c>
      <c r="D12" t="s">
        <v>35</v>
      </c>
      <c r="E12" t="s">
        <v>1</v>
      </c>
      <c r="F12" t="s">
        <v>5</v>
      </c>
      <c r="G12">
        <v>-4.1305269999999998</v>
      </c>
      <c r="H12">
        <v>1.7221439999999999</v>
      </c>
      <c r="I12">
        <v>4.1476170000000003</v>
      </c>
      <c r="J12">
        <v>3.5598200000000002</v>
      </c>
      <c r="K12">
        <v>84.935389999999998</v>
      </c>
      <c r="L12">
        <v>1.6741379999999999</v>
      </c>
    </row>
    <row r="13" spans="1:12" x14ac:dyDescent="0.2">
      <c r="A13" s="1">
        <v>42965.838368055556</v>
      </c>
      <c r="B13">
        <v>1545.809</v>
      </c>
      <c r="C13">
        <v>3</v>
      </c>
      <c r="D13" t="s">
        <v>36</v>
      </c>
      <c r="E13" t="s">
        <v>1</v>
      </c>
      <c r="F13" t="s">
        <v>5</v>
      </c>
      <c r="G13">
        <v>-1.1472020000000001</v>
      </c>
      <c r="H13">
        <v>1.7114990000000001</v>
      </c>
      <c r="I13">
        <v>1.4492620000000001</v>
      </c>
      <c r="J13">
        <v>1.9140330000000001</v>
      </c>
      <c r="K13">
        <v>153.29650000000001</v>
      </c>
      <c r="L13">
        <v>357.50490000000002</v>
      </c>
    </row>
    <row r="14" spans="1:12" x14ac:dyDescent="0.2">
      <c r="A14" s="1">
        <v>42965.838854166665</v>
      </c>
      <c r="B14">
        <v>1588.213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1.718572</v>
      </c>
      <c r="I14">
        <v>-0.67300000000000004</v>
      </c>
      <c r="J14">
        <v>359.60820000000001</v>
      </c>
      <c r="K14">
        <v>131.4948</v>
      </c>
      <c r="L14">
        <v>358.73689999999999</v>
      </c>
    </row>
    <row r="15" spans="1:12" x14ac:dyDescent="0.2">
      <c r="A15" s="1">
        <v>42965.838935185187</v>
      </c>
      <c r="B15">
        <v>1595.175</v>
      </c>
      <c r="C15">
        <v>4</v>
      </c>
      <c r="D15" t="s">
        <v>35</v>
      </c>
      <c r="E15" t="s">
        <v>4</v>
      </c>
      <c r="F15" t="s">
        <v>6</v>
      </c>
      <c r="G15">
        <v>3.8241969999999998</v>
      </c>
      <c r="H15">
        <v>1.719457</v>
      </c>
      <c r="I15">
        <v>-0.68745610000000001</v>
      </c>
      <c r="J15">
        <v>2.448604</v>
      </c>
      <c r="K15">
        <v>176.35570000000001</v>
      </c>
      <c r="L15">
        <v>357.91309999999999</v>
      </c>
    </row>
    <row r="16" spans="1:12" x14ac:dyDescent="0.2">
      <c r="A16" s="1">
        <v>42965.839224537034</v>
      </c>
      <c r="B16">
        <v>1620.261</v>
      </c>
      <c r="C16">
        <v>4</v>
      </c>
      <c r="D16" t="s">
        <v>36</v>
      </c>
      <c r="E16" t="s">
        <v>4</v>
      </c>
      <c r="F16" t="s">
        <v>6</v>
      </c>
      <c r="G16">
        <v>2.1106210000000001</v>
      </c>
      <c r="H16">
        <v>1.7249749999999999</v>
      </c>
      <c r="I16">
        <v>3.9670899999999998</v>
      </c>
      <c r="J16">
        <v>359.93979999999999</v>
      </c>
      <c r="K16">
        <v>69.317499999999995</v>
      </c>
      <c r="L16">
        <v>358.4051</v>
      </c>
    </row>
    <row r="17" spans="1:12" x14ac:dyDescent="0.2">
      <c r="A17" s="1">
        <v>42965.839247685188</v>
      </c>
      <c r="B17">
        <v>1621.9169999999999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1.7229559999999999</v>
      </c>
      <c r="I17">
        <v>-4.117</v>
      </c>
      <c r="J17">
        <v>359.0718</v>
      </c>
      <c r="K17">
        <v>69.787679999999995</v>
      </c>
      <c r="L17">
        <v>359.30059999999997</v>
      </c>
    </row>
    <row r="18" spans="1:12" x14ac:dyDescent="0.2">
      <c r="A18" s="1">
        <v>42965.839317129627</v>
      </c>
      <c r="B18">
        <v>1628.1769999999999</v>
      </c>
      <c r="C18">
        <v>5</v>
      </c>
      <c r="D18" t="s">
        <v>35</v>
      </c>
      <c r="E18" t="s">
        <v>0</v>
      </c>
      <c r="F18" t="s">
        <v>1</v>
      </c>
      <c r="G18">
        <v>-0.91549020000000003</v>
      </c>
      <c r="H18">
        <v>1.7238309999999999</v>
      </c>
      <c r="I18">
        <v>-4.2655149999999997</v>
      </c>
      <c r="J18">
        <v>2.989223</v>
      </c>
      <c r="K18">
        <v>126.372</v>
      </c>
      <c r="L18">
        <v>359.6</v>
      </c>
    </row>
    <row r="19" spans="1:12" x14ac:dyDescent="0.2">
      <c r="A19" s="1">
        <v>42965.839502314811</v>
      </c>
      <c r="B19">
        <v>1644.123</v>
      </c>
      <c r="C19">
        <v>5</v>
      </c>
      <c r="D19" t="s">
        <v>36</v>
      </c>
      <c r="E19" t="s">
        <v>0</v>
      </c>
      <c r="F19" t="s">
        <v>1</v>
      </c>
      <c r="G19">
        <v>-4.1663959999999998</v>
      </c>
      <c r="H19">
        <v>1.7174469999999999</v>
      </c>
      <c r="I19">
        <v>-1.280708</v>
      </c>
      <c r="J19">
        <v>0.5495911</v>
      </c>
      <c r="K19">
        <v>210.5334</v>
      </c>
      <c r="L19">
        <v>358.82440000000003</v>
      </c>
    </row>
    <row r="20" spans="1:12" x14ac:dyDescent="0.2">
      <c r="A20" s="1">
        <v>42965.839513888888</v>
      </c>
      <c r="B20">
        <v>1645.3779999999999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1.7162189999999999</v>
      </c>
      <c r="I20">
        <v>-1.4059999999999999</v>
      </c>
      <c r="J20">
        <v>8.111119E-2</v>
      </c>
      <c r="K20">
        <v>211.4325</v>
      </c>
      <c r="L20">
        <v>359.01170000000002</v>
      </c>
    </row>
    <row r="21" spans="1:12" x14ac:dyDescent="0.2">
      <c r="A21" s="1">
        <v>42965.839618055557</v>
      </c>
      <c r="B21">
        <v>1653.7280000000001</v>
      </c>
      <c r="C21">
        <v>6</v>
      </c>
      <c r="D21" t="s">
        <v>35</v>
      </c>
      <c r="E21" t="s">
        <v>33</v>
      </c>
      <c r="F21" t="s">
        <v>3</v>
      </c>
      <c r="G21">
        <v>-3.9763299999999999</v>
      </c>
      <c r="H21">
        <v>1.7208300000000001</v>
      </c>
      <c r="I21">
        <v>-1.618096</v>
      </c>
      <c r="J21">
        <v>359.53320000000002</v>
      </c>
      <c r="K21">
        <v>356.33580000000001</v>
      </c>
      <c r="L21">
        <v>0.4115375</v>
      </c>
    </row>
    <row r="22" spans="1:12" x14ac:dyDescent="0.2">
      <c r="A22" s="1">
        <v>42965.839814814812</v>
      </c>
      <c r="B22">
        <v>1671.5830000000001</v>
      </c>
      <c r="C22">
        <v>6</v>
      </c>
      <c r="D22" t="s">
        <v>36</v>
      </c>
      <c r="E22" t="s">
        <v>33</v>
      </c>
      <c r="F22" t="s">
        <v>3</v>
      </c>
      <c r="G22">
        <v>0.1777792</v>
      </c>
      <c r="H22">
        <v>1.712642</v>
      </c>
      <c r="I22">
        <v>-3.1941000000000002</v>
      </c>
      <c r="J22">
        <v>0.80385309999999999</v>
      </c>
      <c r="K22">
        <v>248.43010000000001</v>
      </c>
      <c r="L22">
        <v>357.2885</v>
      </c>
    </row>
    <row r="23" spans="1:12" x14ac:dyDescent="0.2">
      <c r="A23" s="1">
        <v>42965.839907407404</v>
      </c>
      <c r="B23">
        <v>1678.912</v>
      </c>
      <c r="C23">
        <v>7</v>
      </c>
      <c r="D23" t="s">
        <v>34</v>
      </c>
      <c r="E23" t="s">
        <v>1</v>
      </c>
      <c r="F23" t="s">
        <v>5</v>
      </c>
      <c r="G23">
        <v>-4.0789999999999997</v>
      </c>
      <c r="H23">
        <v>1.7170909999999999</v>
      </c>
      <c r="I23">
        <v>4.1399999999999997</v>
      </c>
      <c r="J23">
        <v>1.9279630000000001</v>
      </c>
      <c r="K23">
        <v>49.124209999999998</v>
      </c>
      <c r="L23">
        <v>357.30869999999999</v>
      </c>
    </row>
    <row r="24" spans="1:12" x14ac:dyDescent="0.2">
      <c r="A24" s="1">
        <v>42965.839965277781</v>
      </c>
      <c r="B24">
        <v>1684.451</v>
      </c>
      <c r="C24">
        <v>7</v>
      </c>
      <c r="D24" t="s">
        <v>35</v>
      </c>
      <c r="E24" t="s">
        <v>1</v>
      </c>
      <c r="F24" t="s">
        <v>5</v>
      </c>
      <c r="G24">
        <v>-4.1436590000000004</v>
      </c>
      <c r="H24">
        <v>1.7177450000000001</v>
      </c>
      <c r="I24">
        <v>4.3071159999999997</v>
      </c>
      <c r="J24">
        <v>2.4832619999999999</v>
      </c>
      <c r="K24">
        <v>160.31049999999999</v>
      </c>
      <c r="L24">
        <v>0.42845729999999999</v>
      </c>
    </row>
    <row r="25" spans="1:12" x14ac:dyDescent="0.2">
      <c r="A25" s="1">
        <v>42965.840173611112</v>
      </c>
      <c r="B25">
        <v>1702.0719999999999</v>
      </c>
      <c r="C25">
        <v>7</v>
      </c>
      <c r="D25" t="s">
        <v>36</v>
      </c>
      <c r="E25" t="s">
        <v>1</v>
      </c>
      <c r="F25" t="s">
        <v>5</v>
      </c>
      <c r="G25">
        <v>0.1332364</v>
      </c>
      <c r="H25">
        <v>1.7177979999999999</v>
      </c>
      <c r="I25">
        <v>5.2244869999999999</v>
      </c>
      <c r="J25">
        <v>1.6168370000000001</v>
      </c>
      <c r="K25">
        <v>235.3973</v>
      </c>
      <c r="L25">
        <v>355.64089999999999</v>
      </c>
    </row>
    <row r="26" spans="1:12" x14ac:dyDescent="0.2">
      <c r="A26" s="1">
        <v>42965.840185185189</v>
      </c>
      <c r="B26">
        <v>1703.578</v>
      </c>
      <c r="C26">
        <v>8</v>
      </c>
      <c r="D26" t="s">
        <v>34</v>
      </c>
      <c r="E26" t="s">
        <v>2</v>
      </c>
      <c r="F26" t="s">
        <v>0</v>
      </c>
      <c r="G26">
        <v>3.516</v>
      </c>
      <c r="H26">
        <v>1.7156389999999999</v>
      </c>
      <c r="I26">
        <v>-4.3440000000000003</v>
      </c>
      <c r="J26">
        <v>1.5644290000000001</v>
      </c>
      <c r="K26">
        <v>235.33320000000001</v>
      </c>
      <c r="L26">
        <v>358.03890000000001</v>
      </c>
    </row>
    <row r="27" spans="1:12" x14ac:dyDescent="0.2">
      <c r="A27" s="1">
        <v>42965.840243055558</v>
      </c>
      <c r="B27">
        <v>1708.498</v>
      </c>
      <c r="C27">
        <v>8</v>
      </c>
      <c r="D27" t="s">
        <v>35</v>
      </c>
      <c r="E27" t="s">
        <v>2</v>
      </c>
      <c r="F27" t="s">
        <v>0</v>
      </c>
      <c r="G27">
        <v>3.500845</v>
      </c>
      <c r="H27">
        <v>1.715497</v>
      </c>
      <c r="I27">
        <v>-4.2981490000000004</v>
      </c>
      <c r="J27">
        <v>1.432029</v>
      </c>
      <c r="K27">
        <v>123.55719999999999</v>
      </c>
      <c r="L27">
        <v>1.034476</v>
      </c>
    </row>
    <row r="28" spans="1:12" x14ac:dyDescent="0.2">
      <c r="A28" s="1">
        <v>42965.840405092589</v>
      </c>
      <c r="B28">
        <v>1722.5540000000001</v>
      </c>
      <c r="C28">
        <v>8</v>
      </c>
      <c r="D28" t="s">
        <v>36</v>
      </c>
      <c r="E28" t="s">
        <v>2</v>
      </c>
      <c r="F28" t="s">
        <v>0</v>
      </c>
      <c r="G28">
        <v>-0.84745429999999999</v>
      </c>
      <c r="H28">
        <v>1.723403</v>
      </c>
      <c r="I28">
        <v>-3.773962</v>
      </c>
      <c r="J28">
        <v>1.8259449999999999</v>
      </c>
      <c r="K28">
        <v>307.01209999999998</v>
      </c>
      <c r="L28">
        <v>356.40280000000001</v>
      </c>
    </row>
    <row r="29" spans="1:12" x14ac:dyDescent="0.2">
      <c r="A29" s="1">
        <v>42965.840439814812</v>
      </c>
      <c r="B29">
        <v>1724.864</v>
      </c>
      <c r="C29">
        <v>9</v>
      </c>
      <c r="D29" t="s">
        <v>34</v>
      </c>
      <c r="E29" t="s">
        <v>33</v>
      </c>
      <c r="F29" t="s">
        <v>3</v>
      </c>
      <c r="G29">
        <v>-3.9809999999999999</v>
      </c>
      <c r="H29">
        <v>1.721347</v>
      </c>
      <c r="I29">
        <v>-1.4059999999999999</v>
      </c>
      <c r="J29">
        <v>1.7370730000000001</v>
      </c>
      <c r="K29">
        <v>309.00119999999998</v>
      </c>
      <c r="L29">
        <v>358.3143</v>
      </c>
    </row>
    <row r="30" spans="1:12" x14ac:dyDescent="0.2">
      <c r="A30" s="1">
        <v>42965.840497685182</v>
      </c>
      <c r="B30">
        <v>1729.7</v>
      </c>
      <c r="C30">
        <v>9</v>
      </c>
      <c r="D30" t="s">
        <v>35</v>
      </c>
      <c r="E30" t="s">
        <v>33</v>
      </c>
      <c r="F30" t="s">
        <v>3</v>
      </c>
      <c r="G30">
        <v>-4.0394639999999997</v>
      </c>
      <c r="H30">
        <v>1.7265760000000001</v>
      </c>
      <c r="I30">
        <v>-1.5074399999999999</v>
      </c>
      <c r="J30">
        <v>3.0298980000000002</v>
      </c>
      <c r="K30">
        <v>248.86099999999999</v>
      </c>
      <c r="L30">
        <v>359.6336</v>
      </c>
    </row>
    <row r="31" spans="1:12" x14ac:dyDescent="0.2">
      <c r="A31" s="1">
        <v>42965.840671296297</v>
      </c>
      <c r="B31">
        <v>1745.213</v>
      </c>
      <c r="C31">
        <v>9</v>
      </c>
      <c r="D31" t="s">
        <v>36</v>
      </c>
      <c r="E31" t="s">
        <v>33</v>
      </c>
      <c r="F31" t="s">
        <v>3</v>
      </c>
      <c r="G31">
        <v>-0.55094149999999997</v>
      </c>
      <c r="H31">
        <v>1.722156</v>
      </c>
      <c r="I31">
        <v>-3.9087589999999999</v>
      </c>
      <c r="J31">
        <v>2.2840150000000001</v>
      </c>
      <c r="K31">
        <v>15.699579999999999</v>
      </c>
      <c r="L31">
        <v>356.73860000000002</v>
      </c>
    </row>
    <row r="32" spans="1:12" x14ac:dyDescent="0.2">
      <c r="A32" s="1">
        <v>42965.840682870374</v>
      </c>
      <c r="B32">
        <v>1746.2329999999999</v>
      </c>
      <c r="C32">
        <v>10</v>
      </c>
      <c r="D32" t="s">
        <v>34</v>
      </c>
      <c r="E32" t="s">
        <v>5</v>
      </c>
      <c r="F32" t="s">
        <v>2</v>
      </c>
      <c r="G32">
        <v>1.6E-2</v>
      </c>
      <c r="H32">
        <v>1.720094</v>
      </c>
      <c r="I32">
        <v>2.7240000000000002</v>
      </c>
      <c r="J32">
        <v>2.5640079999999998</v>
      </c>
      <c r="K32">
        <v>17.060040000000001</v>
      </c>
      <c r="L32">
        <v>357.85430000000002</v>
      </c>
    </row>
    <row r="33" spans="1:12" x14ac:dyDescent="0.2">
      <c r="A33" s="1">
        <v>42965.840775462966</v>
      </c>
      <c r="B33">
        <v>1754.61</v>
      </c>
      <c r="C33">
        <v>10</v>
      </c>
      <c r="D33" t="s">
        <v>35</v>
      </c>
      <c r="E33" t="s">
        <v>5</v>
      </c>
      <c r="F33" t="s">
        <v>2</v>
      </c>
      <c r="G33">
        <v>-0.17910200000000001</v>
      </c>
      <c r="H33">
        <v>1.7169350000000001</v>
      </c>
      <c r="I33">
        <v>2.7866179999999998</v>
      </c>
      <c r="J33">
        <v>4.2719849999999999</v>
      </c>
      <c r="K33">
        <v>80.435050000000004</v>
      </c>
      <c r="L33">
        <v>3.8498820000000003E-2</v>
      </c>
    </row>
    <row r="34" spans="1:12" x14ac:dyDescent="0.2">
      <c r="A34" s="1">
        <v>42965.840960648151</v>
      </c>
      <c r="B34">
        <v>1769.9549999999999</v>
      </c>
      <c r="C34">
        <v>10</v>
      </c>
      <c r="D34" t="s">
        <v>36</v>
      </c>
      <c r="E34" t="s">
        <v>5</v>
      </c>
      <c r="F34" t="s">
        <v>2</v>
      </c>
      <c r="G34">
        <v>4.0326610000000001</v>
      </c>
      <c r="H34">
        <v>1.719309</v>
      </c>
      <c r="I34">
        <v>1.623461</v>
      </c>
      <c r="J34">
        <v>2.1778770000000001</v>
      </c>
      <c r="K34">
        <v>190.86160000000001</v>
      </c>
      <c r="L34">
        <v>357.01949999999999</v>
      </c>
    </row>
    <row r="35" spans="1:12" x14ac:dyDescent="0.2">
      <c r="A35" s="1">
        <v>42965.84097222222</v>
      </c>
      <c r="B35">
        <v>1771.3109999999999</v>
      </c>
      <c r="C35">
        <v>11</v>
      </c>
      <c r="D35" t="s">
        <v>34</v>
      </c>
      <c r="E35" t="s">
        <v>0</v>
      </c>
      <c r="F35" t="s">
        <v>1</v>
      </c>
      <c r="G35">
        <v>-0.85</v>
      </c>
      <c r="H35">
        <v>1.7136499999999999</v>
      </c>
      <c r="I35">
        <v>-4.117</v>
      </c>
      <c r="J35">
        <v>3.8839389999999998</v>
      </c>
      <c r="K35">
        <v>192.98939999999999</v>
      </c>
      <c r="L35">
        <v>356.42149999999998</v>
      </c>
    </row>
    <row r="36" spans="1:12" x14ac:dyDescent="0.2">
      <c r="A36" s="1">
        <v>42965.84103009259</v>
      </c>
      <c r="B36">
        <v>1775.8630000000001</v>
      </c>
      <c r="C36">
        <v>11</v>
      </c>
      <c r="D36" t="s">
        <v>35</v>
      </c>
      <c r="E36" t="s">
        <v>0</v>
      </c>
      <c r="F36" t="s">
        <v>1</v>
      </c>
      <c r="G36">
        <v>-0.87933329999999998</v>
      </c>
      <c r="H36">
        <v>1.7144680000000001</v>
      </c>
      <c r="I36">
        <v>-4.0678400000000003</v>
      </c>
      <c r="J36">
        <v>1.8877429999999999</v>
      </c>
      <c r="K36">
        <v>31.924019999999999</v>
      </c>
      <c r="L36">
        <v>0.51785859999999995</v>
      </c>
    </row>
    <row r="37" spans="1:12" x14ac:dyDescent="0.2">
      <c r="A37" s="1">
        <v>42965.841215277775</v>
      </c>
      <c r="B37">
        <v>1792.162</v>
      </c>
      <c r="C37">
        <v>11</v>
      </c>
      <c r="D37" t="s">
        <v>36</v>
      </c>
      <c r="E37" t="s">
        <v>0</v>
      </c>
      <c r="F37" t="s">
        <v>1</v>
      </c>
      <c r="G37">
        <v>-4.1196780000000004</v>
      </c>
      <c r="H37">
        <v>1.722567</v>
      </c>
      <c r="I37">
        <v>-1.4181280000000001</v>
      </c>
      <c r="J37">
        <v>3.1223109999999998</v>
      </c>
      <c r="K37">
        <v>238.1746</v>
      </c>
      <c r="L37">
        <v>358.57040000000001</v>
      </c>
    </row>
    <row r="38" spans="1:12" x14ac:dyDescent="0.2">
      <c r="A38" s="1">
        <v>42965.841226851851</v>
      </c>
      <c r="B38">
        <v>1793.2840000000001</v>
      </c>
      <c r="C38">
        <v>12</v>
      </c>
      <c r="D38" t="s">
        <v>34</v>
      </c>
      <c r="E38" t="s">
        <v>3</v>
      </c>
      <c r="F38" t="s">
        <v>4</v>
      </c>
      <c r="G38">
        <v>3.3730000000000002</v>
      </c>
      <c r="H38">
        <v>1.72123</v>
      </c>
      <c r="I38">
        <v>1.8169999999999999</v>
      </c>
      <c r="J38">
        <v>3.2866689999999998</v>
      </c>
      <c r="K38">
        <v>239.8759</v>
      </c>
      <c r="L38">
        <v>358.15190000000001</v>
      </c>
    </row>
    <row r="39" spans="1:12" x14ac:dyDescent="0.2">
      <c r="A39" s="1">
        <v>42965.841446759259</v>
      </c>
      <c r="B39">
        <v>1812.63</v>
      </c>
      <c r="C39">
        <v>12</v>
      </c>
      <c r="D39" t="s">
        <v>35</v>
      </c>
      <c r="E39" t="s">
        <v>3</v>
      </c>
      <c r="F39" t="s">
        <v>4</v>
      </c>
      <c r="G39">
        <v>3.6763180000000002</v>
      </c>
      <c r="H39">
        <v>1.7075959999999999</v>
      </c>
      <c r="I39">
        <v>1.6191169999999999</v>
      </c>
      <c r="J39">
        <v>5.8276329999999996</v>
      </c>
      <c r="K39">
        <v>314.47300000000001</v>
      </c>
      <c r="L39">
        <v>358.08409999999998</v>
      </c>
    </row>
    <row r="40" spans="1:12" x14ac:dyDescent="0.2">
      <c r="A40" s="1">
        <v>42965.841643518521</v>
      </c>
      <c r="B40">
        <v>1829.2059999999999</v>
      </c>
      <c r="C40">
        <v>12</v>
      </c>
      <c r="D40" t="s">
        <v>36</v>
      </c>
      <c r="E40" t="s">
        <v>3</v>
      </c>
      <c r="F40" t="s">
        <v>4</v>
      </c>
      <c r="G40">
        <v>-0.58399369999999995</v>
      </c>
      <c r="H40">
        <v>1.7119139999999999</v>
      </c>
      <c r="I40">
        <v>3.0725280000000001</v>
      </c>
      <c r="J40">
        <v>2.0899040000000002</v>
      </c>
      <c r="K40">
        <v>44.055579999999999</v>
      </c>
      <c r="L40">
        <v>356.86559999999997</v>
      </c>
    </row>
    <row r="41" spans="1:12" x14ac:dyDescent="0.2">
      <c r="A41" s="1">
        <v>42965.84171296296</v>
      </c>
      <c r="B41">
        <v>1834.9459999999999</v>
      </c>
      <c r="C41">
        <v>13</v>
      </c>
      <c r="D41" t="s">
        <v>34</v>
      </c>
      <c r="E41" t="s">
        <v>33</v>
      </c>
      <c r="F41" t="s">
        <v>3</v>
      </c>
      <c r="G41">
        <v>-3.9809999999999999</v>
      </c>
      <c r="H41">
        <v>1.710833</v>
      </c>
      <c r="I41">
        <v>-1.4059999999999999</v>
      </c>
      <c r="J41">
        <v>5.5372780000000003E-2</v>
      </c>
      <c r="K41">
        <v>234.529</v>
      </c>
      <c r="L41">
        <v>355.76670000000001</v>
      </c>
    </row>
    <row r="42" spans="1:12" x14ac:dyDescent="0.2">
      <c r="A42" s="1">
        <v>42965.84175925926</v>
      </c>
      <c r="B42">
        <v>1839.414</v>
      </c>
      <c r="C42">
        <v>13</v>
      </c>
      <c r="D42" t="s">
        <v>35</v>
      </c>
      <c r="E42" t="s">
        <v>33</v>
      </c>
      <c r="F42" t="s">
        <v>3</v>
      </c>
      <c r="G42">
        <v>-4.1336069999999996</v>
      </c>
      <c r="H42">
        <v>1.715514</v>
      </c>
      <c r="I42">
        <v>-1.4690510000000001</v>
      </c>
      <c r="J42">
        <v>2.823226</v>
      </c>
      <c r="K42">
        <v>175.86410000000001</v>
      </c>
      <c r="L42">
        <v>358.30650000000003</v>
      </c>
    </row>
    <row r="43" spans="1:12" x14ac:dyDescent="0.2">
      <c r="A43" s="1">
        <v>42965.841921296298</v>
      </c>
      <c r="B43">
        <v>1852.952</v>
      </c>
      <c r="C43">
        <v>13</v>
      </c>
      <c r="D43" t="s">
        <v>36</v>
      </c>
      <c r="E43" t="s">
        <v>33</v>
      </c>
      <c r="F43" t="s">
        <v>3</v>
      </c>
      <c r="G43">
        <v>-1.5044200000000001</v>
      </c>
      <c r="H43">
        <v>1.7192499999999999</v>
      </c>
      <c r="I43">
        <v>-4.2030919999999998</v>
      </c>
      <c r="J43">
        <v>3.156882</v>
      </c>
      <c r="K43">
        <v>276.7296</v>
      </c>
      <c r="L43">
        <v>356.74329999999998</v>
      </c>
    </row>
    <row r="44" spans="1:12" x14ac:dyDescent="0.2">
      <c r="A44" s="1">
        <v>42965.841932870368</v>
      </c>
      <c r="B44">
        <v>1854.258</v>
      </c>
      <c r="C44">
        <v>14</v>
      </c>
      <c r="D44" t="s">
        <v>34</v>
      </c>
      <c r="E44" t="s">
        <v>5</v>
      </c>
      <c r="F44" t="s">
        <v>2</v>
      </c>
      <c r="G44">
        <v>1.6E-2</v>
      </c>
      <c r="H44">
        <v>1.7166170000000001</v>
      </c>
      <c r="I44">
        <v>2.7240000000000002</v>
      </c>
      <c r="J44">
        <v>3.4623780000000002</v>
      </c>
      <c r="K44">
        <v>277.22980000000001</v>
      </c>
      <c r="L44">
        <v>357.46249999999998</v>
      </c>
    </row>
    <row r="45" spans="1:12" x14ac:dyDescent="0.2">
      <c r="A45" s="1">
        <v>42965.84202546296</v>
      </c>
      <c r="B45">
        <v>1862.123</v>
      </c>
      <c r="C45">
        <v>14</v>
      </c>
      <c r="D45" t="s">
        <v>35</v>
      </c>
      <c r="E45" t="s">
        <v>5</v>
      </c>
      <c r="F45" t="s">
        <v>2</v>
      </c>
      <c r="G45">
        <v>3.1102640000000001E-2</v>
      </c>
      <c r="H45">
        <v>1.717767</v>
      </c>
      <c r="I45">
        <v>2.7755200000000002</v>
      </c>
      <c r="J45">
        <v>3.5706310000000001</v>
      </c>
      <c r="K45">
        <v>350.31420000000003</v>
      </c>
      <c r="L45">
        <v>359.33870000000002</v>
      </c>
    </row>
    <row r="46" spans="1:12" x14ac:dyDescent="0.2">
      <c r="A46" s="1">
        <v>42965.842199074075</v>
      </c>
      <c r="B46">
        <v>1876.883</v>
      </c>
      <c r="C46">
        <v>14</v>
      </c>
      <c r="D46" t="s">
        <v>36</v>
      </c>
      <c r="E46" t="s">
        <v>5</v>
      </c>
      <c r="F46" t="s">
        <v>2</v>
      </c>
      <c r="G46">
        <v>3.1663100000000002</v>
      </c>
      <c r="H46">
        <v>1.7310620000000001</v>
      </c>
      <c r="I46">
        <v>2.9884200000000001</v>
      </c>
      <c r="J46">
        <v>3.5838869999999998</v>
      </c>
      <c r="K46">
        <v>23.067049999999998</v>
      </c>
      <c r="L46">
        <v>357.42020000000002</v>
      </c>
    </row>
    <row r="47" spans="1:12" x14ac:dyDescent="0.2">
      <c r="A47" s="1">
        <v>42965.842210648145</v>
      </c>
      <c r="B47">
        <v>1878.2380000000001</v>
      </c>
      <c r="C47">
        <v>15</v>
      </c>
      <c r="D47" t="s">
        <v>34</v>
      </c>
      <c r="E47" t="s">
        <v>6</v>
      </c>
      <c r="F47" t="s">
        <v>33</v>
      </c>
      <c r="G47">
        <v>-4.1100000000000003</v>
      </c>
      <c r="H47">
        <v>1.7293080000000001</v>
      </c>
      <c r="I47">
        <v>0.09</v>
      </c>
      <c r="J47">
        <v>3.2483019999999998</v>
      </c>
      <c r="K47">
        <v>25.17116</v>
      </c>
      <c r="L47">
        <v>357.24090000000001</v>
      </c>
    </row>
    <row r="48" spans="1:12" x14ac:dyDescent="0.2">
      <c r="A48" s="1">
        <v>42965.842291666668</v>
      </c>
      <c r="B48">
        <v>1885.367</v>
      </c>
      <c r="C48">
        <v>15</v>
      </c>
      <c r="D48" t="s">
        <v>35</v>
      </c>
      <c r="E48" t="s">
        <v>6</v>
      </c>
      <c r="F48" t="s">
        <v>33</v>
      </c>
      <c r="G48">
        <v>-4.2251529999999997</v>
      </c>
      <c r="H48">
        <v>1.732569</v>
      </c>
      <c r="I48">
        <v>0.17230110000000001</v>
      </c>
      <c r="J48">
        <v>4.0999460000000001</v>
      </c>
      <c r="K48">
        <v>10.24179</v>
      </c>
      <c r="L48">
        <v>357.39</v>
      </c>
    </row>
    <row r="49" spans="1:12" x14ac:dyDescent="0.2">
      <c r="A49" s="1">
        <v>42965.842453703706</v>
      </c>
      <c r="B49">
        <v>1899.306</v>
      </c>
      <c r="C49">
        <v>15</v>
      </c>
      <c r="D49" t="s">
        <v>36</v>
      </c>
      <c r="E49" t="s">
        <v>6</v>
      </c>
      <c r="F49" t="s">
        <v>33</v>
      </c>
      <c r="G49">
        <v>-1.1509499999999999</v>
      </c>
      <c r="H49">
        <v>1.717598</v>
      </c>
      <c r="I49">
        <v>1.315266</v>
      </c>
      <c r="J49">
        <v>1.8059769999999999</v>
      </c>
      <c r="K49">
        <v>193.8724</v>
      </c>
      <c r="L49">
        <v>358.08800000000002</v>
      </c>
    </row>
    <row r="50" spans="1:12" x14ac:dyDescent="0.2">
      <c r="A50" s="1">
        <v>42965.842476851853</v>
      </c>
      <c r="B50">
        <v>1901.1980000000001</v>
      </c>
      <c r="C50">
        <v>16</v>
      </c>
      <c r="D50" t="s">
        <v>34</v>
      </c>
      <c r="E50" t="s">
        <v>4</v>
      </c>
      <c r="F50" t="s">
        <v>6</v>
      </c>
      <c r="G50">
        <v>3.9180000000000001</v>
      </c>
      <c r="H50">
        <v>1.715964</v>
      </c>
      <c r="I50">
        <v>-0.67300000000000004</v>
      </c>
      <c r="J50">
        <v>3.8368639999999998</v>
      </c>
      <c r="K50">
        <v>195.16630000000001</v>
      </c>
      <c r="L50">
        <v>357.42559999999997</v>
      </c>
    </row>
    <row r="51" spans="1:12" x14ac:dyDescent="0.2">
      <c r="A51" s="1">
        <v>42965.842534722222</v>
      </c>
      <c r="B51">
        <v>1906.402</v>
      </c>
      <c r="C51">
        <v>16</v>
      </c>
      <c r="D51" t="s">
        <v>35</v>
      </c>
      <c r="E51" t="s">
        <v>4</v>
      </c>
      <c r="F51" t="s">
        <v>6</v>
      </c>
      <c r="G51">
        <v>3.772688</v>
      </c>
      <c r="H51">
        <v>1.720817</v>
      </c>
      <c r="I51">
        <v>-0.69742269999999995</v>
      </c>
      <c r="J51">
        <v>1.7503219999999999</v>
      </c>
      <c r="K51">
        <v>227.59119999999999</v>
      </c>
      <c r="L51">
        <v>357.97390000000001</v>
      </c>
    </row>
    <row r="52" spans="1:12" x14ac:dyDescent="0.2">
      <c r="A52" s="1">
        <v>42965.84275462963</v>
      </c>
      <c r="B52">
        <v>1925.0440000000001</v>
      </c>
      <c r="C52">
        <v>16</v>
      </c>
      <c r="D52" t="s">
        <v>36</v>
      </c>
      <c r="E52" t="s">
        <v>4</v>
      </c>
      <c r="F52" t="s">
        <v>6</v>
      </c>
      <c r="G52">
        <v>0.65261480000000005</v>
      </c>
      <c r="H52">
        <v>1.715543</v>
      </c>
      <c r="I52">
        <v>-1.8681080000000001</v>
      </c>
      <c r="J52">
        <v>2.2373099999999999</v>
      </c>
      <c r="K52">
        <v>212.00129999999999</v>
      </c>
      <c r="L52">
        <v>356.21339999999998</v>
      </c>
    </row>
    <row r="53" spans="1:12" x14ac:dyDescent="0.2">
      <c r="A53" s="1">
        <v>42965.842800925922</v>
      </c>
      <c r="B53">
        <v>1929.1769999999999</v>
      </c>
      <c r="C53">
        <v>17</v>
      </c>
      <c r="D53" t="s">
        <v>34</v>
      </c>
      <c r="E53" t="s">
        <v>3</v>
      </c>
      <c r="F53" t="s">
        <v>4</v>
      </c>
      <c r="G53">
        <v>3.3730000000000002</v>
      </c>
      <c r="H53">
        <v>1.7117039999999999</v>
      </c>
      <c r="I53">
        <v>1.8169999999999999</v>
      </c>
      <c r="J53">
        <v>3.6026129999999998</v>
      </c>
      <c r="K53">
        <v>215.6183</v>
      </c>
      <c r="L53">
        <v>356.26530000000002</v>
      </c>
    </row>
    <row r="54" spans="1:12" x14ac:dyDescent="0.2">
      <c r="A54" s="1">
        <v>42965.842870370368</v>
      </c>
      <c r="B54">
        <v>1935.4860000000001</v>
      </c>
      <c r="C54">
        <v>17</v>
      </c>
      <c r="D54" t="s">
        <v>35</v>
      </c>
      <c r="E54" t="s">
        <v>3</v>
      </c>
      <c r="F54" t="s">
        <v>4</v>
      </c>
      <c r="G54">
        <v>3.4606720000000002</v>
      </c>
      <c r="H54">
        <v>1.716108</v>
      </c>
      <c r="I54">
        <v>1.780673</v>
      </c>
      <c r="J54">
        <v>3.6876549999999999</v>
      </c>
      <c r="K54">
        <v>245.67580000000001</v>
      </c>
      <c r="L54">
        <v>356.20080000000002</v>
      </c>
    </row>
    <row r="55" spans="1:12" x14ac:dyDescent="0.2">
      <c r="A55" s="1">
        <v>42965.84306712963</v>
      </c>
      <c r="B55">
        <v>1952.0350000000001</v>
      </c>
      <c r="C55">
        <v>17</v>
      </c>
      <c r="D55" t="s">
        <v>36</v>
      </c>
      <c r="E55" t="s">
        <v>3</v>
      </c>
      <c r="F55" t="s">
        <v>4</v>
      </c>
      <c r="G55">
        <v>2.1692269999999998</v>
      </c>
      <c r="H55">
        <v>1.716156</v>
      </c>
      <c r="I55">
        <v>6.4462659999999996</v>
      </c>
      <c r="J55">
        <v>0.70010269999999997</v>
      </c>
      <c r="K55">
        <v>129.3065</v>
      </c>
      <c r="L55">
        <v>356.0317</v>
      </c>
    </row>
    <row r="56" spans="1:12" x14ac:dyDescent="0.2">
      <c r="A56" s="1">
        <v>42965.843078703707</v>
      </c>
      <c r="B56">
        <v>1953.2729999999999</v>
      </c>
      <c r="C56">
        <v>18</v>
      </c>
      <c r="D56" t="s">
        <v>34</v>
      </c>
      <c r="E56" t="s">
        <v>2</v>
      </c>
      <c r="F56" t="s">
        <v>0</v>
      </c>
      <c r="G56">
        <v>3.516</v>
      </c>
      <c r="H56">
        <v>1.717956</v>
      </c>
      <c r="I56">
        <v>-4.3440000000000003</v>
      </c>
      <c r="J56">
        <v>2.1774070000000001</v>
      </c>
      <c r="K56">
        <v>128.0241</v>
      </c>
      <c r="L56">
        <v>358.00549999999998</v>
      </c>
    </row>
    <row r="57" spans="1:12" x14ac:dyDescent="0.2">
      <c r="A57" s="1">
        <v>42965.843113425923</v>
      </c>
      <c r="B57">
        <v>1956</v>
      </c>
      <c r="C57">
        <v>18</v>
      </c>
      <c r="D57" t="s">
        <v>35</v>
      </c>
      <c r="E57" t="s">
        <v>2</v>
      </c>
      <c r="F57" t="s">
        <v>0</v>
      </c>
      <c r="G57">
        <v>3.5286279999999999</v>
      </c>
      <c r="H57">
        <v>1.718807</v>
      </c>
      <c r="I57">
        <v>-4.369624</v>
      </c>
      <c r="J57">
        <v>3.6665920000000001</v>
      </c>
      <c r="K57">
        <v>139.89349999999999</v>
      </c>
      <c r="L57">
        <v>357.19319999999999</v>
      </c>
    </row>
    <row r="58" spans="1:12" x14ac:dyDescent="0.2">
      <c r="A58" s="1">
        <v>42965.843275462961</v>
      </c>
      <c r="B58">
        <v>1970.2080000000001</v>
      </c>
      <c r="C58">
        <v>18</v>
      </c>
      <c r="D58" t="s">
        <v>36</v>
      </c>
      <c r="E58" t="s">
        <v>2</v>
      </c>
      <c r="F58" t="s">
        <v>0</v>
      </c>
      <c r="G58">
        <v>-0.22608110000000001</v>
      </c>
      <c r="H58">
        <v>1.7153510000000001</v>
      </c>
      <c r="I58">
        <v>-4.5636869999999998</v>
      </c>
      <c r="J58">
        <v>2.9842309999999999</v>
      </c>
      <c r="K58">
        <v>237.0155</v>
      </c>
      <c r="L58">
        <v>357.25119999999998</v>
      </c>
    </row>
    <row r="59" spans="1:12" x14ac:dyDescent="0.2">
      <c r="A59" s="1">
        <v>42965.843298611115</v>
      </c>
      <c r="B59">
        <v>1971.614</v>
      </c>
      <c r="C59">
        <v>19</v>
      </c>
      <c r="D59" t="s">
        <v>34</v>
      </c>
      <c r="E59" t="s">
        <v>4</v>
      </c>
      <c r="F59" t="s">
        <v>6</v>
      </c>
      <c r="G59">
        <v>3.9180000000000001</v>
      </c>
      <c r="H59">
        <v>1.7134959999999999</v>
      </c>
      <c r="I59">
        <v>-0.67300000000000004</v>
      </c>
      <c r="J59">
        <v>4.1882710000000003</v>
      </c>
      <c r="K59">
        <v>236.92150000000001</v>
      </c>
      <c r="L59">
        <v>357.16759999999999</v>
      </c>
    </row>
    <row r="60" spans="1:12" x14ac:dyDescent="0.2">
      <c r="A60" s="1">
        <v>42965.843344907407</v>
      </c>
      <c r="B60">
        <v>1975.864</v>
      </c>
      <c r="C60">
        <v>19</v>
      </c>
      <c r="D60" t="s">
        <v>35</v>
      </c>
      <c r="E60" t="s">
        <v>4</v>
      </c>
      <c r="F60" t="s">
        <v>6</v>
      </c>
      <c r="G60">
        <v>3.8451499999999998</v>
      </c>
      <c r="H60">
        <v>1.7146619999999999</v>
      </c>
      <c r="I60">
        <v>-0.77592819999999996</v>
      </c>
      <c r="J60">
        <v>3.3844210000000001</v>
      </c>
      <c r="K60">
        <v>87.480900000000005</v>
      </c>
      <c r="L60">
        <v>1.0592820000000001</v>
      </c>
    </row>
    <row r="61" spans="1:12" x14ac:dyDescent="0.2">
      <c r="A61" s="1">
        <v>42965.843530092592</v>
      </c>
      <c r="B61">
        <v>1992.364</v>
      </c>
      <c r="C61">
        <v>19</v>
      </c>
      <c r="D61" t="s">
        <v>36</v>
      </c>
      <c r="E61" t="s">
        <v>4</v>
      </c>
      <c r="F61" t="s">
        <v>6</v>
      </c>
      <c r="G61">
        <v>0.97473240000000005</v>
      </c>
      <c r="H61">
        <v>1.7176260000000001</v>
      </c>
      <c r="I61">
        <v>2.8765740000000002</v>
      </c>
      <c r="J61">
        <v>4.7309039999999998</v>
      </c>
      <c r="K61">
        <v>146.15190000000001</v>
      </c>
      <c r="L61">
        <v>353.7867</v>
      </c>
    </row>
    <row r="62" spans="1:12" x14ac:dyDescent="0.2">
      <c r="A62" s="1">
        <v>42965.843553240738</v>
      </c>
      <c r="B62">
        <v>1993.787</v>
      </c>
      <c r="C62">
        <v>20</v>
      </c>
      <c r="D62" t="s">
        <v>34</v>
      </c>
      <c r="E62" t="s">
        <v>33</v>
      </c>
      <c r="F62" t="s">
        <v>3</v>
      </c>
      <c r="G62">
        <v>-3.9809999999999999</v>
      </c>
      <c r="H62">
        <v>1.711595</v>
      </c>
      <c r="I62">
        <v>-1.4059999999999999</v>
      </c>
      <c r="J62">
        <v>2.8064819999999999</v>
      </c>
      <c r="K62">
        <v>146.46619999999999</v>
      </c>
      <c r="L62">
        <v>358.06830000000002</v>
      </c>
    </row>
    <row r="63" spans="1:12" x14ac:dyDescent="0.2">
      <c r="A63" s="1">
        <v>42965.843599537038</v>
      </c>
      <c r="B63">
        <v>1998.0540000000001</v>
      </c>
      <c r="C63">
        <v>20</v>
      </c>
      <c r="D63" t="s">
        <v>35</v>
      </c>
      <c r="E63" t="s">
        <v>33</v>
      </c>
      <c r="F63" t="s">
        <v>3</v>
      </c>
      <c r="G63">
        <v>-4.0550199999999998</v>
      </c>
      <c r="H63">
        <v>1.7119800000000001</v>
      </c>
      <c r="I63">
        <v>-1.458758</v>
      </c>
      <c r="J63">
        <v>1.234926</v>
      </c>
      <c r="K63">
        <v>41.975810000000003</v>
      </c>
      <c r="L63">
        <v>358.99380000000002</v>
      </c>
    </row>
    <row r="64" spans="1:12" x14ac:dyDescent="0.2">
      <c r="A64" s="1">
        <v>42965.843784722223</v>
      </c>
      <c r="B64">
        <v>2013.617</v>
      </c>
      <c r="C64">
        <v>20</v>
      </c>
      <c r="D64" t="s">
        <v>36</v>
      </c>
      <c r="E64" t="s">
        <v>33</v>
      </c>
      <c r="F64" t="s">
        <v>3</v>
      </c>
      <c r="G64">
        <v>-0.23847009999999999</v>
      </c>
      <c r="H64">
        <v>1.7164010000000001</v>
      </c>
      <c r="I64">
        <v>-4.6499550000000003</v>
      </c>
      <c r="J64">
        <v>2.6933340000000001</v>
      </c>
      <c r="K64">
        <v>155.4127</v>
      </c>
      <c r="L64">
        <v>357.12580000000003</v>
      </c>
    </row>
    <row r="65" spans="1:12" x14ac:dyDescent="0.2">
      <c r="A65" s="1">
        <v>42965.8437962963</v>
      </c>
      <c r="B65">
        <v>2014.6210000000001</v>
      </c>
      <c r="C65">
        <v>21</v>
      </c>
      <c r="D65" t="s">
        <v>34</v>
      </c>
      <c r="E65" t="s">
        <v>0</v>
      </c>
      <c r="F65" t="s">
        <v>1</v>
      </c>
      <c r="G65">
        <v>-0.85</v>
      </c>
      <c r="H65">
        <v>1.7131110000000001</v>
      </c>
      <c r="I65">
        <v>-4.117</v>
      </c>
      <c r="J65">
        <v>1.365518</v>
      </c>
      <c r="K65">
        <v>156.86949999999999</v>
      </c>
      <c r="L65">
        <v>357.16019999999997</v>
      </c>
    </row>
    <row r="66" spans="1:12" x14ac:dyDescent="0.2">
      <c r="A66" s="1">
        <v>42965.843831018516</v>
      </c>
      <c r="B66">
        <v>2018.386</v>
      </c>
      <c r="C66">
        <v>21</v>
      </c>
      <c r="D66" t="s">
        <v>35</v>
      </c>
      <c r="E66" t="s">
        <v>0</v>
      </c>
      <c r="F66" t="s">
        <v>1</v>
      </c>
      <c r="G66">
        <v>-0.8018286</v>
      </c>
      <c r="H66">
        <v>1.7167399999999999</v>
      </c>
      <c r="I66">
        <v>-4.0853400000000004</v>
      </c>
      <c r="J66">
        <v>1.2992349999999999</v>
      </c>
      <c r="K66">
        <v>341.66739999999999</v>
      </c>
      <c r="L66">
        <v>1.383157</v>
      </c>
    </row>
    <row r="67" spans="1:12" x14ac:dyDescent="0.2">
      <c r="A67" s="1">
        <v>42965.844004629631</v>
      </c>
      <c r="B67">
        <v>2033.213</v>
      </c>
      <c r="C67">
        <v>21</v>
      </c>
      <c r="D67" t="s">
        <v>36</v>
      </c>
      <c r="E67" t="s">
        <v>0</v>
      </c>
      <c r="F67" t="s">
        <v>1</v>
      </c>
      <c r="G67">
        <v>-2.103866</v>
      </c>
      <c r="H67">
        <v>1.7162299999999999</v>
      </c>
      <c r="I67">
        <v>-0.75543899999999997</v>
      </c>
      <c r="J67">
        <v>2.5797340000000002</v>
      </c>
      <c r="K67">
        <v>207.72319999999999</v>
      </c>
      <c r="L67">
        <v>355.91160000000002</v>
      </c>
    </row>
    <row r="68" spans="1:12" x14ac:dyDescent="0.2">
      <c r="A68" s="1">
        <v>42965.844027777777</v>
      </c>
      <c r="B68">
        <v>2034.635</v>
      </c>
      <c r="C68">
        <v>22</v>
      </c>
      <c r="D68" t="s">
        <v>34</v>
      </c>
      <c r="E68" t="s">
        <v>1</v>
      </c>
      <c r="F68" t="s">
        <v>5</v>
      </c>
      <c r="G68">
        <v>-4.0789999999999997</v>
      </c>
      <c r="H68">
        <v>1.712939</v>
      </c>
      <c r="I68">
        <v>4.1399999999999997</v>
      </c>
      <c r="J68">
        <v>1.250901</v>
      </c>
      <c r="K68">
        <v>210.06890000000001</v>
      </c>
      <c r="L68">
        <v>357.33670000000001</v>
      </c>
    </row>
    <row r="69" spans="1:12" x14ac:dyDescent="0.2">
      <c r="A69" s="1">
        <v>42965.844085648147</v>
      </c>
      <c r="B69">
        <v>2039.672</v>
      </c>
      <c r="C69">
        <v>22</v>
      </c>
      <c r="D69" t="s">
        <v>35</v>
      </c>
      <c r="E69" t="s">
        <v>1</v>
      </c>
      <c r="F69" t="s">
        <v>5</v>
      </c>
      <c r="G69">
        <v>-4.1017590000000004</v>
      </c>
      <c r="H69">
        <v>1.717635</v>
      </c>
      <c r="I69">
        <v>4.2042320000000002</v>
      </c>
      <c r="J69">
        <v>0.46457700000000002</v>
      </c>
      <c r="K69">
        <v>94.827889999999996</v>
      </c>
      <c r="L69">
        <v>358.11989999999997</v>
      </c>
    </row>
    <row r="70" spans="1:12" x14ac:dyDescent="0.2">
      <c r="A70" s="1">
        <v>42965.844224537039</v>
      </c>
      <c r="B70">
        <v>2052.2559999999999</v>
      </c>
      <c r="C70">
        <v>22</v>
      </c>
      <c r="D70" t="s">
        <v>36</v>
      </c>
      <c r="E70" t="s">
        <v>1</v>
      </c>
      <c r="F70" t="s">
        <v>5</v>
      </c>
      <c r="G70">
        <v>-0.98898580000000003</v>
      </c>
      <c r="H70">
        <v>1.717789</v>
      </c>
      <c r="I70">
        <v>2.8315670000000002</v>
      </c>
      <c r="J70">
        <v>359.37580000000003</v>
      </c>
      <c r="K70">
        <v>200.74760000000001</v>
      </c>
      <c r="L70">
        <v>356.4547</v>
      </c>
    </row>
    <row r="71" spans="1:12" x14ac:dyDescent="0.2">
      <c r="A71" s="1">
        <v>42965.844236111108</v>
      </c>
      <c r="B71">
        <v>2053.277</v>
      </c>
      <c r="C71">
        <v>23</v>
      </c>
      <c r="D71" t="s">
        <v>34</v>
      </c>
      <c r="E71" t="s">
        <v>6</v>
      </c>
      <c r="F71" t="s">
        <v>33</v>
      </c>
      <c r="G71">
        <v>-4.1100000000000003</v>
      </c>
      <c r="H71">
        <v>1.712226</v>
      </c>
      <c r="I71">
        <v>0.09</v>
      </c>
      <c r="J71">
        <v>0.33679599999999998</v>
      </c>
      <c r="K71">
        <v>201.91909999999999</v>
      </c>
      <c r="L71">
        <v>357.61329999999998</v>
      </c>
    </row>
    <row r="72" spans="1:12" x14ac:dyDescent="0.2">
      <c r="A72" s="1">
        <v>42965.844305555554</v>
      </c>
      <c r="B72">
        <v>2059.3009999999999</v>
      </c>
      <c r="C72">
        <v>23</v>
      </c>
      <c r="D72" t="s">
        <v>35</v>
      </c>
      <c r="E72" t="s">
        <v>6</v>
      </c>
      <c r="F72" t="s">
        <v>33</v>
      </c>
      <c r="G72">
        <v>-4.1486499999999999</v>
      </c>
      <c r="H72">
        <v>1.718116</v>
      </c>
      <c r="I72">
        <v>0.3008207</v>
      </c>
      <c r="J72">
        <v>1.736003</v>
      </c>
      <c r="K72">
        <v>161.38069999999999</v>
      </c>
      <c r="L72">
        <v>356.53550000000001</v>
      </c>
    </row>
    <row r="73" spans="1:12" x14ac:dyDescent="0.2">
      <c r="A73" s="1">
        <v>42965.844502314816</v>
      </c>
      <c r="B73">
        <v>2075.799</v>
      </c>
      <c r="C73">
        <v>23</v>
      </c>
      <c r="D73" t="s">
        <v>36</v>
      </c>
      <c r="E73" t="s">
        <v>6</v>
      </c>
      <c r="F73" t="s">
        <v>33</v>
      </c>
      <c r="G73">
        <v>-5.3244179999999997</v>
      </c>
      <c r="H73">
        <v>1.717241</v>
      </c>
      <c r="I73">
        <v>2.5515059999999998</v>
      </c>
      <c r="J73">
        <v>1.3289759999999999</v>
      </c>
      <c r="K73">
        <v>277.6918</v>
      </c>
      <c r="L73">
        <v>356.12240000000003</v>
      </c>
    </row>
    <row r="74" spans="1:12" x14ac:dyDescent="0.2">
      <c r="A74" s="1">
        <v>42965.844513888886</v>
      </c>
      <c r="B74">
        <v>2076.8029999999999</v>
      </c>
      <c r="C74">
        <v>24</v>
      </c>
      <c r="D74" t="s">
        <v>34</v>
      </c>
      <c r="E74" t="s">
        <v>5</v>
      </c>
      <c r="F74" t="s">
        <v>2</v>
      </c>
      <c r="G74">
        <v>1.6E-2</v>
      </c>
      <c r="H74">
        <v>1.714958</v>
      </c>
      <c r="I74">
        <v>2.7240000000000002</v>
      </c>
      <c r="J74">
        <v>1.5246230000000001</v>
      </c>
      <c r="K74">
        <v>278.28050000000002</v>
      </c>
      <c r="L74">
        <v>357.55459999999999</v>
      </c>
    </row>
    <row r="75" spans="1:12" x14ac:dyDescent="0.2">
      <c r="A75" s="1">
        <v>42965.844571759262</v>
      </c>
      <c r="B75">
        <v>2081.6550000000002</v>
      </c>
      <c r="C75">
        <v>24</v>
      </c>
      <c r="D75" t="s">
        <v>35</v>
      </c>
      <c r="E75" t="s">
        <v>5</v>
      </c>
      <c r="F75" t="s">
        <v>2</v>
      </c>
      <c r="G75">
        <v>-0.15858729999999999</v>
      </c>
      <c r="H75">
        <v>1.7133050000000001</v>
      </c>
      <c r="I75">
        <v>2.7105990000000002</v>
      </c>
      <c r="J75">
        <v>3.704669</v>
      </c>
      <c r="K75">
        <v>159.79599999999999</v>
      </c>
      <c r="L75">
        <v>357.12540000000001</v>
      </c>
    </row>
    <row r="76" spans="1:12" x14ac:dyDescent="0.2">
      <c r="A76" s="1">
        <v>42965.844722222224</v>
      </c>
      <c r="B76">
        <v>2095.277</v>
      </c>
      <c r="C76">
        <v>24</v>
      </c>
      <c r="D76" t="s">
        <v>36</v>
      </c>
      <c r="E76" t="s">
        <v>5</v>
      </c>
      <c r="F76" t="s">
        <v>2</v>
      </c>
      <c r="G76">
        <v>3.7492589999999999</v>
      </c>
      <c r="H76">
        <v>1.7233130000000001</v>
      </c>
      <c r="I76">
        <v>2.5098150000000001</v>
      </c>
      <c r="J76">
        <v>358.66340000000002</v>
      </c>
      <c r="K76">
        <v>245.3032</v>
      </c>
      <c r="L76">
        <v>355.7278</v>
      </c>
    </row>
    <row r="77" spans="1:12" x14ac:dyDescent="0.2">
      <c r="A77" s="1">
        <v>42965.844733796293</v>
      </c>
      <c r="B77">
        <v>2096.3139999999999</v>
      </c>
      <c r="C77">
        <v>25</v>
      </c>
      <c r="D77" t="s">
        <v>34</v>
      </c>
      <c r="E77" t="s">
        <v>1</v>
      </c>
      <c r="F77" t="s">
        <v>5</v>
      </c>
      <c r="G77">
        <v>-4.0789999999999997</v>
      </c>
      <c r="H77">
        <v>1.7209449999999999</v>
      </c>
      <c r="I77">
        <v>4.1399999999999997</v>
      </c>
      <c r="J77">
        <v>0.42927769999999998</v>
      </c>
      <c r="K77">
        <v>246.5309</v>
      </c>
      <c r="L77">
        <v>357.29309999999998</v>
      </c>
    </row>
    <row r="78" spans="1:12" x14ac:dyDescent="0.2">
      <c r="A78" s="1">
        <v>42965.84479166667</v>
      </c>
      <c r="B78">
        <v>2101.2840000000001</v>
      </c>
      <c r="C78">
        <v>25</v>
      </c>
      <c r="D78" t="s">
        <v>35</v>
      </c>
      <c r="E78" t="s">
        <v>1</v>
      </c>
      <c r="F78" t="s">
        <v>5</v>
      </c>
      <c r="G78">
        <v>-4.0698800000000004</v>
      </c>
      <c r="H78">
        <v>1.7230909999999999</v>
      </c>
      <c r="I78">
        <v>4.1806190000000001</v>
      </c>
      <c r="J78">
        <v>2.1332390000000001</v>
      </c>
      <c r="K78">
        <v>22.512039999999999</v>
      </c>
      <c r="L78">
        <v>0.70383050000000003</v>
      </c>
    </row>
    <row r="79" spans="1:12" x14ac:dyDescent="0.2">
      <c r="A79" s="1">
        <v>42965.844965277778</v>
      </c>
      <c r="B79">
        <v>2116.3270000000002</v>
      </c>
      <c r="C79">
        <v>25</v>
      </c>
      <c r="D79" t="s">
        <v>36</v>
      </c>
      <c r="E79" t="s">
        <v>1</v>
      </c>
      <c r="F79" t="s">
        <v>5</v>
      </c>
      <c r="G79">
        <v>-5.163481</v>
      </c>
      <c r="H79">
        <v>1.7077830000000001</v>
      </c>
      <c r="I79">
        <v>0.1101379</v>
      </c>
      <c r="J79">
        <v>1.698499</v>
      </c>
      <c r="K79">
        <v>173.75380000000001</v>
      </c>
      <c r="L79">
        <v>356.34129999999999</v>
      </c>
    </row>
    <row r="80" spans="1:12" x14ac:dyDescent="0.2">
      <c r="A80" s="1">
        <v>42965.845000000001</v>
      </c>
      <c r="B80">
        <v>2118.67</v>
      </c>
      <c r="C80">
        <v>26</v>
      </c>
      <c r="D80" t="s">
        <v>34</v>
      </c>
      <c r="E80" t="s">
        <v>4</v>
      </c>
      <c r="F80" t="s">
        <v>6</v>
      </c>
      <c r="G80">
        <v>3.9180000000000001</v>
      </c>
      <c r="H80">
        <v>1.714216</v>
      </c>
      <c r="I80">
        <v>-0.67300000000000004</v>
      </c>
      <c r="J80">
        <v>2.4429509999999999</v>
      </c>
      <c r="K80">
        <v>172.42779999999999</v>
      </c>
      <c r="L80">
        <v>356.97239999999999</v>
      </c>
    </row>
    <row r="81" spans="1:12" x14ac:dyDescent="0.2">
      <c r="A81" s="1">
        <v>42965.845046296294</v>
      </c>
      <c r="B81">
        <v>2123.1709999999998</v>
      </c>
      <c r="C81">
        <v>26</v>
      </c>
      <c r="D81" t="s">
        <v>35</v>
      </c>
      <c r="E81" t="s">
        <v>4</v>
      </c>
      <c r="F81" t="s">
        <v>6</v>
      </c>
      <c r="G81">
        <v>4.0194559999999999</v>
      </c>
      <c r="H81">
        <v>1.7201759999999999</v>
      </c>
      <c r="I81">
        <v>-0.63335629999999998</v>
      </c>
      <c r="J81">
        <v>2.94781</v>
      </c>
      <c r="K81">
        <v>104.2765</v>
      </c>
      <c r="L81">
        <v>357.64510000000001</v>
      </c>
    </row>
    <row r="82" spans="1:12" x14ac:dyDescent="0.2">
      <c r="A82" s="1">
        <v>42965.845231481479</v>
      </c>
      <c r="B82">
        <v>2139.2510000000002</v>
      </c>
      <c r="C82">
        <v>26</v>
      </c>
      <c r="D82" t="s">
        <v>36</v>
      </c>
      <c r="E82" t="s">
        <v>4</v>
      </c>
      <c r="F82" t="s">
        <v>6</v>
      </c>
      <c r="G82">
        <v>4.0144380000000002</v>
      </c>
      <c r="H82">
        <v>1.714072</v>
      </c>
      <c r="I82">
        <v>3.653572</v>
      </c>
      <c r="J82">
        <v>0.1647864</v>
      </c>
      <c r="K82">
        <v>169.79169999999999</v>
      </c>
      <c r="L82">
        <v>358.30560000000003</v>
      </c>
    </row>
    <row r="83" spans="1:12" x14ac:dyDescent="0.2">
      <c r="A83" s="1">
        <v>42965.845243055555</v>
      </c>
      <c r="B83">
        <v>2140.2719999999999</v>
      </c>
      <c r="C83">
        <v>27</v>
      </c>
      <c r="D83" t="s">
        <v>34</v>
      </c>
      <c r="E83" t="s">
        <v>5</v>
      </c>
      <c r="F83" t="s">
        <v>2</v>
      </c>
      <c r="G83">
        <v>1.6E-2</v>
      </c>
      <c r="H83">
        <v>1.711984</v>
      </c>
      <c r="I83">
        <v>2.7240000000000002</v>
      </c>
      <c r="J83">
        <v>0.90416859999999999</v>
      </c>
      <c r="K83">
        <v>169.44</v>
      </c>
      <c r="L83">
        <v>357.95740000000001</v>
      </c>
    </row>
    <row r="84" spans="1:12" x14ac:dyDescent="0.2">
      <c r="A84" s="1">
        <v>42965.845300925925</v>
      </c>
      <c r="B84">
        <v>2144.79</v>
      </c>
      <c r="C84">
        <v>27</v>
      </c>
      <c r="D84" t="s">
        <v>35</v>
      </c>
      <c r="E84" t="s">
        <v>5</v>
      </c>
      <c r="F84" t="s">
        <v>2</v>
      </c>
      <c r="G84">
        <v>-0.1655556</v>
      </c>
      <c r="H84">
        <v>1.7154119999999999</v>
      </c>
      <c r="I84">
        <v>2.7657889999999998</v>
      </c>
      <c r="J84">
        <v>2.4888170000000001</v>
      </c>
      <c r="K84">
        <v>41.080260000000003</v>
      </c>
      <c r="L84">
        <v>357.60480000000001</v>
      </c>
    </row>
    <row r="85" spans="1:12" x14ac:dyDescent="0.2">
      <c r="A85" s="1">
        <v>42965.84547453704</v>
      </c>
      <c r="B85">
        <v>2160.3180000000002</v>
      </c>
      <c r="C85">
        <v>27</v>
      </c>
      <c r="D85" t="s">
        <v>36</v>
      </c>
      <c r="E85" t="s">
        <v>5</v>
      </c>
      <c r="F85" t="s">
        <v>2</v>
      </c>
      <c r="G85">
        <v>3.3743050000000001</v>
      </c>
      <c r="H85">
        <v>1.712439</v>
      </c>
      <c r="I85">
        <v>4.7019719999999996</v>
      </c>
      <c r="J85">
        <v>359.90469999999999</v>
      </c>
      <c r="K85">
        <v>84.414400000000001</v>
      </c>
      <c r="L85">
        <v>356.27089999999998</v>
      </c>
    </row>
    <row r="86" spans="1:12" x14ac:dyDescent="0.2">
      <c r="A86" s="1">
        <v>42965.845486111109</v>
      </c>
      <c r="B86">
        <v>2161.3220000000001</v>
      </c>
      <c r="C86">
        <v>28</v>
      </c>
      <c r="D86" t="s">
        <v>34</v>
      </c>
      <c r="E86" t="s">
        <v>0</v>
      </c>
      <c r="F86" t="s">
        <v>1</v>
      </c>
      <c r="G86">
        <v>-0.85</v>
      </c>
      <c r="H86">
        <v>1.7111149999999999</v>
      </c>
      <c r="I86">
        <v>-4.117</v>
      </c>
      <c r="J86">
        <v>0.81026670000000001</v>
      </c>
      <c r="K86">
        <v>85.853099999999998</v>
      </c>
      <c r="L86">
        <v>357.01990000000001</v>
      </c>
    </row>
    <row r="87" spans="1:12" x14ac:dyDescent="0.2">
      <c r="A87" s="1">
        <v>42965.845590277779</v>
      </c>
      <c r="B87">
        <v>2170.1909999999998</v>
      </c>
      <c r="C87">
        <v>28</v>
      </c>
      <c r="D87" t="s">
        <v>35</v>
      </c>
      <c r="E87" t="s">
        <v>0</v>
      </c>
      <c r="F87" t="s">
        <v>1</v>
      </c>
      <c r="G87">
        <v>-0.8880593</v>
      </c>
      <c r="H87">
        <v>1.7155149999999999</v>
      </c>
      <c r="I87">
        <v>-4.4535460000000002</v>
      </c>
      <c r="J87">
        <v>4.0910390000000003</v>
      </c>
      <c r="K87">
        <v>119.7244</v>
      </c>
      <c r="L87">
        <v>356.53989999999999</v>
      </c>
    </row>
    <row r="88" spans="1:12" x14ac:dyDescent="0.2">
      <c r="A88" s="1">
        <v>42965.845752314817</v>
      </c>
      <c r="B88">
        <v>2184.5309999999999</v>
      </c>
      <c r="C88">
        <v>28</v>
      </c>
      <c r="D88" t="s">
        <v>36</v>
      </c>
      <c r="E88" t="s">
        <v>0</v>
      </c>
      <c r="F88" t="s">
        <v>1</v>
      </c>
      <c r="G88">
        <v>-3.1506210000000001</v>
      </c>
      <c r="H88">
        <v>1.7229019999999999</v>
      </c>
      <c r="I88">
        <v>-0.49827189999999999</v>
      </c>
      <c r="J88">
        <v>0.1061332</v>
      </c>
      <c r="K88">
        <v>212.31979999999999</v>
      </c>
      <c r="L88">
        <v>357.86720000000003</v>
      </c>
    </row>
    <row r="89" spans="1:12" x14ac:dyDescent="0.2">
      <c r="A89" s="1">
        <v>42965.845775462964</v>
      </c>
      <c r="B89">
        <v>2186.0700000000002</v>
      </c>
      <c r="C89">
        <v>29</v>
      </c>
      <c r="D89" t="s">
        <v>34</v>
      </c>
      <c r="E89" t="s">
        <v>33</v>
      </c>
      <c r="F89" t="s">
        <v>3</v>
      </c>
      <c r="G89">
        <v>-3.9809999999999999</v>
      </c>
      <c r="H89">
        <v>1.721317</v>
      </c>
      <c r="I89">
        <v>-1.4059999999999999</v>
      </c>
      <c r="J89">
        <v>1.7248330000000001</v>
      </c>
      <c r="K89">
        <v>216.2851</v>
      </c>
      <c r="L89">
        <v>358.41660000000002</v>
      </c>
    </row>
    <row r="90" spans="1:12" x14ac:dyDescent="0.2">
      <c r="A90" s="1">
        <v>42965.84584490741</v>
      </c>
      <c r="B90">
        <v>2191.8429999999998</v>
      </c>
      <c r="C90">
        <v>29</v>
      </c>
      <c r="D90" t="s">
        <v>35</v>
      </c>
      <c r="E90" t="s">
        <v>33</v>
      </c>
      <c r="F90" t="s">
        <v>3</v>
      </c>
      <c r="G90">
        <v>-4.017093</v>
      </c>
      <c r="H90">
        <v>1.72401</v>
      </c>
      <c r="I90">
        <v>-1.3781369999999999</v>
      </c>
      <c r="J90">
        <v>1.623721</v>
      </c>
      <c r="K90">
        <v>95.535989999999998</v>
      </c>
      <c r="L90">
        <v>359.11509999999998</v>
      </c>
    </row>
    <row r="91" spans="1:12" x14ac:dyDescent="0.2">
      <c r="A91" s="1">
        <v>42965.846030092594</v>
      </c>
      <c r="B91">
        <v>2207.7730000000001</v>
      </c>
      <c r="C91">
        <v>29</v>
      </c>
      <c r="D91" t="s">
        <v>36</v>
      </c>
      <c r="E91" t="s">
        <v>33</v>
      </c>
      <c r="F91" t="s">
        <v>3</v>
      </c>
      <c r="G91">
        <v>-1.54687</v>
      </c>
      <c r="H91">
        <v>1.7142059999999999</v>
      </c>
      <c r="I91">
        <v>-4.4457269999999998</v>
      </c>
      <c r="J91">
        <v>0.3050177</v>
      </c>
      <c r="K91">
        <v>192.7824</v>
      </c>
      <c r="L91">
        <v>357.12079999999997</v>
      </c>
    </row>
    <row r="92" spans="1:12" x14ac:dyDescent="0.2">
      <c r="A92" s="1">
        <v>42965.846053240741</v>
      </c>
      <c r="B92">
        <v>2210.0320000000002</v>
      </c>
      <c r="C92">
        <v>30</v>
      </c>
      <c r="D92" t="s">
        <v>34</v>
      </c>
      <c r="E92" t="s">
        <v>6</v>
      </c>
      <c r="F92" t="s">
        <v>33</v>
      </c>
      <c r="G92">
        <v>-4.1100000000000003</v>
      </c>
      <c r="H92">
        <v>1.710264</v>
      </c>
      <c r="I92">
        <v>0.09</v>
      </c>
      <c r="J92">
        <v>2.9979100000000001</v>
      </c>
      <c r="K92">
        <v>194.327</v>
      </c>
      <c r="L92">
        <v>356.16950000000003</v>
      </c>
    </row>
    <row r="93" spans="1:12" x14ac:dyDescent="0.2">
      <c r="A93" s="1">
        <v>42965.846099537041</v>
      </c>
      <c r="B93">
        <v>2213.7130000000002</v>
      </c>
      <c r="C93">
        <v>30</v>
      </c>
      <c r="D93" t="s">
        <v>35</v>
      </c>
      <c r="E93" t="s">
        <v>6</v>
      </c>
      <c r="F93" t="s">
        <v>33</v>
      </c>
      <c r="G93">
        <v>-4.001347</v>
      </c>
      <c r="H93">
        <v>1.7129289999999999</v>
      </c>
      <c r="I93">
        <v>0.18799080000000001</v>
      </c>
      <c r="J93">
        <v>3.779112</v>
      </c>
      <c r="K93">
        <v>109.1613</v>
      </c>
      <c r="L93">
        <v>357.78570000000002</v>
      </c>
    </row>
    <row r="94" spans="1:12" x14ac:dyDescent="0.2">
      <c r="A94" s="1">
        <v>42965.846261574072</v>
      </c>
      <c r="B94">
        <v>2227.5520000000001</v>
      </c>
      <c r="C94">
        <v>30</v>
      </c>
      <c r="D94" t="s">
        <v>36</v>
      </c>
      <c r="E94" t="s">
        <v>6</v>
      </c>
      <c r="F94" t="s">
        <v>33</v>
      </c>
      <c r="G94">
        <v>-6.8832180000000003</v>
      </c>
      <c r="H94">
        <v>1.717066</v>
      </c>
      <c r="I94">
        <v>0.83083899999999999</v>
      </c>
      <c r="J94">
        <v>2.4101509999999999</v>
      </c>
      <c r="K94">
        <v>178.31290000000001</v>
      </c>
      <c r="L94">
        <v>355.91750000000002</v>
      </c>
    </row>
    <row r="95" spans="1:12" x14ac:dyDescent="0.2">
      <c r="A95" s="1">
        <v>42965.846284722225</v>
      </c>
      <c r="B95">
        <v>2229.6439999999998</v>
      </c>
      <c r="C95">
        <v>31</v>
      </c>
      <c r="D95" t="s">
        <v>34</v>
      </c>
      <c r="E95" t="s">
        <v>2</v>
      </c>
      <c r="F95" t="s">
        <v>0</v>
      </c>
      <c r="G95">
        <v>3.516</v>
      </c>
      <c r="H95">
        <v>1.7122010000000001</v>
      </c>
      <c r="I95">
        <v>-4.3440000000000003</v>
      </c>
      <c r="J95">
        <v>4.2870350000000004</v>
      </c>
      <c r="K95">
        <v>179.78809999999999</v>
      </c>
      <c r="L95">
        <v>357.3698</v>
      </c>
    </row>
    <row r="96" spans="1:12" x14ac:dyDescent="0.2">
      <c r="A96" s="1">
        <v>42965.846331018518</v>
      </c>
      <c r="B96">
        <v>2233.7930000000001</v>
      </c>
      <c r="C96">
        <v>31</v>
      </c>
      <c r="D96" t="s">
        <v>35</v>
      </c>
      <c r="E96" t="s">
        <v>2</v>
      </c>
      <c r="F96" t="s">
        <v>0</v>
      </c>
      <c r="G96">
        <v>3.529785</v>
      </c>
      <c r="H96">
        <v>1.714545</v>
      </c>
      <c r="I96">
        <v>-4.5731989999999998</v>
      </c>
      <c r="J96">
        <v>3.5085959999999998</v>
      </c>
      <c r="K96">
        <v>324.1266</v>
      </c>
      <c r="L96">
        <v>357.1454</v>
      </c>
    </row>
    <row r="97" spans="1:12" x14ac:dyDescent="0.2">
      <c r="A97" s="1">
        <v>42965.84648148148</v>
      </c>
      <c r="B97">
        <v>2246.5439999999999</v>
      </c>
      <c r="C97">
        <v>31</v>
      </c>
      <c r="D97" t="s">
        <v>36</v>
      </c>
      <c r="E97" t="s">
        <v>2</v>
      </c>
      <c r="F97" t="s">
        <v>0</v>
      </c>
      <c r="G97">
        <v>0.67669009999999996</v>
      </c>
      <c r="H97">
        <v>1.7156899999999999</v>
      </c>
      <c r="I97">
        <v>-3.699627</v>
      </c>
      <c r="J97">
        <v>1.4867250000000001</v>
      </c>
      <c r="K97">
        <v>353.14940000000001</v>
      </c>
      <c r="L97">
        <v>358.9384</v>
      </c>
    </row>
    <row r="98" spans="1:12" x14ac:dyDescent="0.2">
      <c r="A98" s="1">
        <v>42965.846493055556</v>
      </c>
      <c r="B98">
        <v>2248.1840000000002</v>
      </c>
      <c r="C98">
        <v>32</v>
      </c>
      <c r="D98" t="s">
        <v>34</v>
      </c>
      <c r="E98" t="s">
        <v>3</v>
      </c>
      <c r="F98" t="s">
        <v>4</v>
      </c>
      <c r="G98">
        <v>3.3730000000000002</v>
      </c>
      <c r="H98">
        <v>1.7126699999999999</v>
      </c>
      <c r="I98">
        <v>1.8169999999999999</v>
      </c>
      <c r="J98">
        <v>1.177028</v>
      </c>
      <c r="K98">
        <v>356.28160000000003</v>
      </c>
      <c r="L98">
        <v>358.01760000000002</v>
      </c>
    </row>
    <row r="99" spans="1:12" x14ac:dyDescent="0.2">
      <c r="A99" s="1">
        <v>42965.846562500003</v>
      </c>
      <c r="B99">
        <v>2253.7890000000002</v>
      </c>
      <c r="C99">
        <v>32</v>
      </c>
      <c r="D99" t="s">
        <v>35</v>
      </c>
      <c r="E99" t="s">
        <v>3</v>
      </c>
      <c r="F99" t="s">
        <v>4</v>
      </c>
      <c r="G99">
        <v>3.4263849999999998</v>
      </c>
      <c r="H99">
        <v>1.7163310000000001</v>
      </c>
      <c r="I99">
        <v>1.726254</v>
      </c>
      <c r="J99">
        <v>3.3355049999999999</v>
      </c>
      <c r="K99">
        <v>48.16187</v>
      </c>
      <c r="L99">
        <v>357.30029999999999</v>
      </c>
    </row>
    <row r="100" spans="1:12" x14ac:dyDescent="0.2">
      <c r="A100" s="1">
        <v>42965.846712962964</v>
      </c>
      <c r="B100">
        <v>2267.326</v>
      </c>
      <c r="C100">
        <v>32</v>
      </c>
      <c r="D100" t="s">
        <v>36</v>
      </c>
      <c r="E100" t="s">
        <v>3</v>
      </c>
      <c r="F100" t="s">
        <v>4</v>
      </c>
      <c r="G100">
        <v>1.7463519999999999</v>
      </c>
      <c r="H100">
        <v>1.7173160000000001</v>
      </c>
      <c r="I100">
        <v>3.8532850000000001</v>
      </c>
      <c r="J100">
        <v>0.63840589999999997</v>
      </c>
      <c r="K100">
        <v>309.97019999999998</v>
      </c>
      <c r="L100">
        <v>357.09589999999997</v>
      </c>
    </row>
    <row r="101" spans="1:12" x14ac:dyDescent="0.2">
      <c r="A101" s="1">
        <v>42965.846759259257</v>
      </c>
      <c r="B101">
        <v>2271.1080000000002</v>
      </c>
      <c r="C101">
        <v>33</v>
      </c>
      <c r="D101" t="s">
        <v>34</v>
      </c>
      <c r="E101" t="s">
        <v>6</v>
      </c>
      <c r="F101" t="s">
        <v>33</v>
      </c>
      <c r="G101">
        <v>-4.1100000000000003</v>
      </c>
      <c r="H101">
        <v>1.714024</v>
      </c>
      <c r="I101">
        <v>0.09</v>
      </c>
      <c r="J101">
        <v>2.3701530000000002</v>
      </c>
      <c r="K101">
        <v>311.81720000000001</v>
      </c>
      <c r="L101">
        <v>355.59230000000002</v>
      </c>
    </row>
    <row r="102" spans="1:12" x14ac:dyDescent="0.2">
      <c r="A102" s="1">
        <v>42965.846805555557</v>
      </c>
      <c r="B102">
        <v>2275.2739999999999</v>
      </c>
      <c r="C102">
        <v>33</v>
      </c>
      <c r="D102" t="s">
        <v>35</v>
      </c>
      <c r="E102" t="s">
        <v>6</v>
      </c>
      <c r="F102" t="s">
        <v>33</v>
      </c>
      <c r="G102">
        <v>-4.223179</v>
      </c>
      <c r="H102">
        <v>1.7172890000000001</v>
      </c>
      <c r="I102">
        <v>0.17769360000000001</v>
      </c>
      <c r="J102">
        <v>3.155424</v>
      </c>
      <c r="K102">
        <v>48.466749999999998</v>
      </c>
      <c r="L102">
        <v>356.9502</v>
      </c>
    </row>
    <row r="103" spans="1:12" x14ac:dyDescent="0.2">
      <c r="A103" s="1">
        <v>42965.847013888888</v>
      </c>
      <c r="B103">
        <v>2292.7080000000001</v>
      </c>
      <c r="C103">
        <v>33</v>
      </c>
      <c r="D103" t="s">
        <v>36</v>
      </c>
      <c r="E103" t="s">
        <v>6</v>
      </c>
      <c r="F103" t="s">
        <v>33</v>
      </c>
      <c r="G103">
        <v>-6.6302510000000003</v>
      </c>
      <c r="H103">
        <v>1.718545</v>
      </c>
      <c r="I103">
        <v>3.531034</v>
      </c>
      <c r="J103">
        <v>0.88818280000000005</v>
      </c>
      <c r="K103">
        <v>157.9374</v>
      </c>
      <c r="L103">
        <v>356.9169</v>
      </c>
    </row>
    <row r="104" spans="1:12" x14ac:dyDescent="0.2">
      <c r="A104" s="1">
        <v>42965.847037037034</v>
      </c>
      <c r="B104">
        <v>2294.8330000000001</v>
      </c>
      <c r="C104">
        <v>34</v>
      </c>
      <c r="D104" t="s">
        <v>34</v>
      </c>
      <c r="E104" t="s">
        <v>4</v>
      </c>
      <c r="F104" t="s">
        <v>6</v>
      </c>
      <c r="G104">
        <v>3.9180000000000001</v>
      </c>
      <c r="H104">
        <v>1.7147239999999999</v>
      </c>
      <c r="I104">
        <v>-0.67300000000000004</v>
      </c>
      <c r="J104">
        <v>2.3207620000000002</v>
      </c>
      <c r="K104">
        <v>159.22309999999999</v>
      </c>
      <c r="L104">
        <v>356.8236</v>
      </c>
    </row>
    <row r="105" spans="1:12" x14ac:dyDescent="0.2">
      <c r="A105" s="1">
        <v>42965.847083333334</v>
      </c>
      <c r="B105">
        <v>2298.8490000000002</v>
      </c>
      <c r="C105">
        <v>34</v>
      </c>
      <c r="D105" t="s">
        <v>35</v>
      </c>
      <c r="E105" t="s">
        <v>4</v>
      </c>
      <c r="F105" t="s">
        <v>6</v>
      </c>
      <c r="G105">
        <v>3.7442199999999999</v>
      </c>
      <c r="H105">
        <v>1.714898</v>
      </c>
      <c r="I105">
        <v>-0.64838390000000001</v>
      </c>
      <c r="J105">
        <v>1.3230980000000001</v>
      </c>
      <c r="K105">
        <v>327.42039999999997</v>
      </c>
      <c r="L105">
        <v>1.885812</v>
      </c>
    </row>
    <row r="106" spans="1:12" x14ac:dyDescent="0.2">
      <c r="A106" s="1">
        <v>42965.847268518519</v>
      </c>
      <c r="B106">
        <v>2314.962</v>
      </c>
      <c r="C106">
        <v>34</v>
      </c>
      <c r="D106" t="s">
        <v>36</v>
      </c>
      <c r="E106" t="s">
        <v>4</v>
      </c>
      <c r="F106" t="s">
        <v>6</v>
      </c>
      <c r="G106">
        <v>-0.21893760000000001</v>
      </c>
      <c r="H106">
        <v>1.710739</v>
      </c>
      <c r="I106">
        <v>-0.59523329999999997</v>
      </c>
      <c r="J106">
        <v>1.62754</v>
      </c>
      <c r="K106">
        <v>324.19260000000003</v>
      </c>
      <c r="L106">
        <v>355.70080000000002</v>
      </c>
    </row>
    <row r="107" spans="1:12" x14ac:dyDescent="0.2">
      <c r="A107" s="1">
        <v>42965.847280092596</v>
      </c>
      <c r="B107">
        <v>2315.9830000000002</v>
      </c>
      <c r="C107">
        <v>35</v>
      </c>
      <c r="D107" t="s">
        <v>34</v>
      </c>
      <c r="E107" t="s">
        <v>5</v>
      </c>
      <c r="F107" t="s">
        <v>2</v>
      </c>
      <c r="G107">
        <v>1.6E-2</v>
      </c>
      <c r="H107">
        <v>1.7097610000000001</v>
      </c>
      <c r="I107">
        <v>2.7240000000000002</v>
      </c>
      <c r="J107">
        <v>0.89420149999999998</v>
      </c>
      <c r="K107">
        <v>325.4117</v>
      </c>
      <c r="L107">
        <v>356.87779999999998</v>
      </c>
    </row>
    <row r="108" spans="1:12" x14ac:dyDescent="0.2">
      <c r="A108" s="1">
        <v>42965.847314814811</v>
      </c>
      <c r="B108">
        <v>2318.56</v>
      </c>
      <c r="C108">
        <v>35</v>
      </c>
      <c r="D108" t="s">
        <v>35</v>
      </c>
      <c r="E108" t="s">
        <v>5</v>
      </c>
      <c r="F108" t="s">
        <v>2</v>
      </c>
      <c r="G108">
        <v>-2.2772339999999999E-2</v>
      </c>
      <c r="H108">
        <v>1.7130920000000001</v>
      </c>
      <c r="I108">
        <v>2.6120290000000002</v>
      </c>
      <c r="J108">
        <v>1.342411</v>
      </c>
      <c r="K108">
        <v>212.4761</v>
      </c>
      <c r="L108">
        <v>0.10394589999999999</v>
      </c>
    </row>
    <row r="109" spans="1:12" x14ac:dyDescent="0.2">
      <c r="A109" s="1">
        <v>42965.84747685185</v>
      </c>
      <c r="B109">
        <v>2333.4850000000001</v>
      </c>
      <c r="C109">
        <v>35</v>
      </c>
      <c r="D109" t="s">
        <v>36</v>
      </c>
      <c r="E109" t="s">
        <v>5</v>
      </c>
      <c r="F109" t="s">
        <v>2</v>
      </c>
      <c r="G109">
        <v>-1.304786</v>
      </c>
      <c r="H109">
        <v>1.7173119999999999</v>
      </c>
      <c r="I109">
        <v>5.560924</v>
      </c>
      <c r="J109">
        <v>2.6914729999999998</v>
      </c>
      <c r="K109">
        <v>236.86529999999999</v>
      </c>
      <c r="L109">
        <v>356.25959999999998</v>
      </c>
    </row>
    <row r="110" spans="1:12" x14ac:dyDescent="0.2">
      <c r="A110" s="1">
        <v>42965.847500000003</v>
      </c>
      <c r="B110">
        <v>2335.5259999999998</v>
      </c>
      <c r="C110">
        <v>36</v>
      </c>
      <c r="D110" t="s">
        <v>34</v>
      </c>
      <c r="E110" t="s">
        <v>3</v>
      </c>
      <c r="F110" t="s">
        <v>4</v>
      </c>
      <c r="G110">
        <v>3.3730000000000002</v>
      </c>
      <c r="H110">
        <v>1.713543</v>
      </c>
      <c r="I110">
        <v>1.8169999999999999</v>
      </c>
      <c r="J110">
        <v>3.4251399999999999</v>
      </c>
      <c r="K110">
        <v>238.10929999999999</v>
      </c>
      <c r="L110">
        <v>356.89870000000002</v>
      </c>
    </row>
    <row r="111" spans="1:12" x14ac:dyDescent="0.2">
      <c r="A111" s="1">
        <v>42965.847604166665</v>
      </c>
      <c r="B111">
        <v>2344.16</v>
      </c>
      <c r="C111">
        <v>36</v>
      </c>
      <c r="D111" t="s">
        <v>35</v>
      </c>
      <c r="E111" t="s">
        <v>3</v>
      </c>
      <c r="F111" t="s">
        <v>4</v>
      </c>
      <c r="G111">
        <v>3.717193</v>
      </c>
      <c r="H111">
        <v>1.7113080000000001</v>
      </c>
      <c r="I111">
        <v>1.7179249999999999</v>
      </c>
      <c r="J111">
        <v>3.5016470000000002</v>
      </c>
      <c r="K111">
        <v>265.06909999999999</v>
      </c>
      <c r="L111">
        <v>353.839</v>
      </c>
    </row>
    <row r="112" spans="1:12" x14ac:dyDescent="0.2">
      <c r="A112" s="1">
        <v>42965.84778935185</v>
      </c>
      <c r="B112">
        <v>2359.6039999999998</v>
      </c>
      <c r="C112">
        <v>36</v>
      </c>
      <c r="D112" t="s">
        <v>36</v>
      </c>
      <c r="E112" t="s">
        <v>3</v>
      </c>
      <c r="F112" t="s">
        <v>4</v>
      </c>
      <c r="G112">
        <v>1.3536319999999999</v>
      </c>
      <c r="H112">
        <v>1.720491</v>
      </c>
      <c r="I112">
        <v>5.0153489999999996</v>
      </c>
      <c r="J112">
        <v>0.65382039999999997</v>
      </c>
      <c r="K112">
        <v>66.710620000000006</v>
      </c>
      <c r="L112">
        <v>358.13249999999999</v>
      </c>
    </row>
    <row r="113" spans="1:12" x14ac:dyDescent="0.2">
      <c r="A113" s="1">
        <v>42965.847824074073</v>
      </c>
      <c r="B113">
        <v>2362.6</v>
      </c>
      <c r="C113">
        <v>37</v>
      </c>
      <c r="D113" t="s">
        <v>34</v>
      </c>
      <c r="E113" t="s">
        <v>6</v>
      </c>
      <c r="F113" t="s">
        <v>33</v>
      </c>
      <c r="G113">
        <v>-4.1100000000000003</v>
      </c>
      <c r="H113">
        <v>1.7170859999999999</v>
      </c>
      <c r="I113">
        <v>0.09</v>
      </c>
      <c r="J113">
        <v>7.3518790000000001E-2</v>
      </c>
      <c r="K113">
        <v>69.574870000000004</v>
      </c>
      <c r="L113">
        <v>357.00170000000003</v>
      </c>
    </row>
    <row r="114" spans="1:12" x14ac:dyDescent="0.2">
      <c r="A114" s="1">
        <v>42965.847870370373</v>
      </c>
      <c r="B114">
        <v>2367.1849999999999</v>
      </c>
      <c r="C114">
        <v>37</v>
      </c>
      <c r="D114" t="s">
        <v>35</v>
      </c>
      <c r="E114" t="s">
        <v>6</v>
      </c>
      <c r="F114" t="s">
        <v>33</v>
      </c>
      <c r="G114">
        <v>-4.1542750000000002</v>
      </c>
      <c r="H114">
        <v>1.7170460000000001</v>
      </c>
      <c r="I114">
        <v>6.2960639999999998E-2</v>
      </c>
      <c r="J114">
        <v>1.964337</v>
      </c>
      <c r="K114">
        <v>184.80160000000001</v>
      </c>
      <c r="L114">
        <v>357.20530000000002</v>
      </c>
    </row>
    <row r="115" spans="1:12" x14ac:dyDescent="0.2">
      <c r="A115" s="1">
        <v>42965.848043981481</v>
      </c>
      <c r="B115">
        <v>2382.4789999999998</v>
      </c>
      <c r="C115">
        <v>37</v>
      </c>
      <c r="D115" t="s">
        <v>36</v>
      </c>
      <c r="E115" t="s">
        <v>6</v>
      </c>
      <c r="F115" t="s">
        <v>33</v>
      </c>
      <c r="G115">
        <v>-7.2266139999999996</v>
      </c>
      <c r="H115">
        <v>1.720083</v>
      </c>
      <c r="I115">
        <v>3.081944</v>
      </c>
      <c r="J115">
        <v>358.84</v>
      </c>
      <c r="K115">
        <v>278.17739999999998</v>
      </c>
      <c r="L115">
        <v>357.73200000000003</v>
      </c>
    </row>
    <row r="116" spans="1:12" x14ac:dyDescent="0.2">
      <c r="A116" s="1">
        <v>42965.848055555558</v>
      </c>
      <c r="B116">
        <v>2383.4830000000002</v>
      </c>
      <c r="C116">
        <v>38</v>
      </c>
      <c r="D116" t="s">
        <v>34</v>
      </c>
      <c r="E116" t="s">
        <v>2</v>
      </c>
      <c r="F116" t="s">
        <v>0</v>
      </c>
      <c r="G116">
        <v>3.516</v>
      </c>
      <c r="H116">
        <v>1.714229</v>
      </c>
      <c r="I116">
        <v>-4.3440000000000003</v>
      </c>
      <c r="J116">
        <v>1.2508220000000001</v>
      </c>
      <c r="K116">
        <v>278.70350000000002</v>
      </c>
      <c r="L116">
        <v>357.41419999999999</v>
      </c>
    </row>
    <row r="117" spans="1:12" x14ac:dyDescent="0.2">
      <c r="A117" s="1">
        <v>42965.848113425927</v>
      </c>
      <c r="B117">
        <v>2387.817</v>
      </c>
      <c r="C117">
        <v>38</v>
      </c>
      <c r="D117" t="s">
        <v>35</v>
      </c>
      <c r="E117" t="s">
        <v>2</v>
      </c>
      <c r="F117" t="s">
        <v>0</v>
      </c>
      <c r="G117">
        <v>3.441058</v>
      </c>
      <c r="H117">
        <v>1.715632</v>
      </c>
      <c r="I117">
        <v>-4.3604469999999997</v>
      </c>
      <c r="J117">
        <v>3.6878259999999998</v>
      </c>
      <c r="K117">
        <v>13.076309999999999</v>
      </c>
      <c r="L117">
        <v>358.58710000000002</v>
      </c>
    </row>
    <row r="118" spans="1:12" x14ac:dyDescent="0.2">
      <c r="A118" s="1">
        <v>42965.848240740743</v>
      </c>
      <c r="B118">
        <v>2399.4639999999999</v>
      </c>
      <c r="C118">
        <v>38</v>
      </c>
      <c r="D118" t="s">
        <v>36</v>
      </c>
      <c r="E118" t="s">
        <v>2</v>
      </c>
      <c r="F118" t="s">
        <v>0</v>
      </c>
      <c r="G118">
        <v>0.65766170000000002</v>
      </c>
      <c r="H118">
        <v>1.7283310000000001</v>
      </c>
      <c r="I118">
        <v>-3.0556489999999998</v>
      </c>
      <c r="J118">
        <v>0.94555409999999995</v>
      </c>
      <c r="K118">
        <v>119.0933</v>
      </c>
      <c r="L118">
        <v>358.58139999999997</v>
      </c>
    </row>
    <row r="119" spans="1:12" x14ac:dyDescent="0.2">
      <c r="A119" s="1">
        <v>42965.848263888889</v>
      </c>
      <c r="B119">
        <v>2400.8519999999999</v>
      </c>
      <c r="C119">
        <v>39</v>
      </c>
      <c r="D119" t="s">
        <v>34</v>
      </c>
      <c r="E119" t="s">
        <v>1</v>
      </c>
      <c r="F119" t="s">
        <v>5</v>
      </c>
      <c r="G119">
        <v>-4.0789999999999997</v>
      </c>
      <c r="H119">
        <v>1.7238549999999999</v>
      </c>
      <c r="I119">
        <v>4.1399999999999997</v>
      </c>
      <c r="J119">
        <v>1.3358220000000001</v>
      </c>
      <c r="K119">
        <v>121.67619999999999</v>
      </c>
      <c r="L119">
        <v>357.91199999999998</v>
      </c>
    </row>
    <row r="120" spans="1:12" x14ac:dyDescent="0.2">
      <c r="A120" s="1">
        <v>42965.848321759258</v>
      </c>
      <c r="B120">
        <v>2406.2069999999999</v>
      </c>
      <c r="C120">
        <v>39</v>
      </c>
      <c r="D120" t="s">
        <v>35</v>
      </c>
      <c r="E120" t="s">
        <v>1</v>
      </c>
      <c r="F120" t="s">
        <v>5</v>
      </c>
      <c r="G120">
        <v>-4.2186830000000004</v>
      </c>
      <c r="H120">
        <v>1.7243599999999999</v>
      </c>
      <c r="I120">
        <v>4.1649419999999999</v>
      </c>
      <c r="J120">
        <v>3.3180879999999999</v>
      </c>
      <c r="K120">
        <v>46.553130000000003</v>
      </c>
      <c r="L120">
        <v>359.8005</v>
      </c>
    </row>
    <row r="121" spans="1:12" x14ac:dyDescent="0.2">
      <c r="A121" s="1">
        <v>42965.848483796297</v>
      </c>
      <c r="B121">
        <v>2420.4459999999999</v>
      </c>
      <c r="C121">
        <v>39</v>
      </c>
      <c r="D121" t="s">
        <v>36</v>
      </c>
      <c r="E121" t="s">
        <v>1</v>
      </c>
      <c r="F121" t="s">
        <v>5</v>
      </c>
      <c r="G121">
        <v>-5.4442550000000001</v>
      </c>
      <c r="H121">
        <v>1.710961</v>
      </c>
      <c r="I121">
        <v>0.65974449999999996</v>
      </c>
      <c r="J121">
        <v>2.3269769999999999</v>
      </c>
      <c r="K121">
        <v>194.32570000000001</v>
      </c>
      <c r="L121">
        <v>357.58800000000002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A3" sqref="A3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(40)'!$C$2:$L$249,3,0)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(40)'!$C$2:$L$249,5,1)</f>
        <v>-3.9301149999999998</v>
      </c>
      <c r="G2" s="3">
        <f>VLOOKUP($A2,'Summary Data (40)'!$C$2:$L$249,6,1)</f>
        <v>1.7182949999999999</v>
      </c>
      <c r="H2" s="3">
        <f>VLOOKUP($A2,'Summary Data (40)'!$C$2:$L$249,7,1)</f>
        <v>0.28768919999999998</v>
      </c>
      <c r="I2" s="3" t="str">
        <f>VLOOKUP($A2,'Summary Data (40)'!$C$2:$L$249,4,0)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5.3747925877955174</v>
      </c>
      <c r="N2" s="3">
        <f t="shared" ref="N2:N41" si="1">ABS(SQRT((F2-C2)^2+(H2-E2)^2))</f>
        <v>8.7691033429092187</v>
      </c>
      <c r="O2" s="3">
        <f t="shared" ref="O2:O41" si="2">ABS(SQRT((J2-C2)^2+(L2-E2)^2))</f>
        <v>4.3718971854333439</v>
      </c>
      <c r="P2" s="3">
        <f t="shared" ref="P2:P41" si="3">(N2-O2)</f>
        <v>4.3972061574758747</v>
      </c>
      <c r="Q2" s="5">
        <f t="shared" ref="Q2:Q41" si="4">P2/O2</f>
        <v>1.0057890135492795</v>
      </c>
      <c r="R2" s="3">
        <f t="shared" ref="R2:R41" si="5">ATAN2(J2-C2,L2-E2)*180/PI()</f>
        <v>177.02371934116897</v>
      </c>
      <c r="S2" s="3">
        <f t="shared" ref="S2:S41" si="6">ATAN2(F2-C2,H2-E2)*180/PI()</f>
        <v>148.11724677440489</v>
      </c>
      <c r="T2" s="3">
        <f t="shared" ref="T2:T41" si="7">IF(ABS(R2-S2)&gt;180,360-ABS(R2-S2),ABS(R2-S2))</f>
        <v>28.90647256676408</v>
      </c>
      <c r="U2" s="3">
        <f>VLOOKUP($A2,'Summary Data (40)'!$C$2:$N$249,11,0)</f>
        <v>0</v>
      </c>
      <c r="V2" s="3">
        <f>VLOOKUP($A2,'Summary Data (40)'!$C$2:$N$249,12,1)</f>
        <v>0</v>
      </c>
      <c r="W2" s="3">
        <f>VLOOKUP($A2,'Summary Data (40)'!$C$2:$N$249,11,1)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(40)'!$C$2:$L$249,3,0)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(40)'!$C$2:$L$249,5,1)</f>
        <v>-0.91761230000000005</v>
      </c>
      <c r="G3" s="3">
        <f>VLOOKUP($A3,'Summary Data (40)'!$C$2:$L$249,6,1)</f>
        <v>1.7124280000000001</v>
      </c>
      <c r="H3" s="3">
        <f>VLOOKUP($A3,'Summary Data (40)'!$C$2:$L$249,7,1)</f>
        <v>-6.2310210000000001</v>
      </c>
      <c r="I3" s="3" t="str">
        <f>VLOOKUP($A3,'Summary Data (40)'!$C$2:$L$249,4,0)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4.8184817402530742</v>
      </c>
      <c r="N3" s="3">
        <f t="shared" si="1"/>
        <v>9.0035566881734184</v>
      </c>
      <c r="O3" s="3">
        <f t="shared" si="2"/>
        <v>7.8871175977032326</v>
      </c>
      <c r="P3" s="3">
        <f t="shared" si="3"/>
        <v>1.1164390904701857</v>
      </c>
      <c r="Q3" s="5">
        <f t="shared" si="4"/>
        <v>0.1415522307915503</v>
      </c>
      <c r="R3" s="3">
        <f t="shared" si="5"/>
        <v>-63.65586590726528</v>
      </c>
      <c r="S3" s="3">
        <f t="shared" si="6"/>
        <v>-95.951911491360121</v>
      </c>
      <c r="T3" s="3">
        <f t="shared" si="7"/>
        <v>32.296045584094841</v>
      </c>
      <c r="U3" s="3">
        <f>VLOOKUP($A3,'Summary Data (40)'!$C$2:$N$249,11,0)</f>
        <v>0</v>
      </c>
      <c r="V3" s="3">
        <f>VLOOKUP($A3,'Summary Data (40)'!$C$2:$N$249,12,1)</f>
        <v>0</v>
      </c>
      <c r="W3" s="3">
        <f>VLOOKUP($A3,'Summary Data (40)'!$C$2:$N$249,11,1)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(40)'!$C$2:$L$249,3,0)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(40)'!$C$2:$L$249,5,1)</f>
        <v>6.9906079999999999</v>
      </c>
      <c r="G4" s="3">
        <f>VLOOKUP($A4,'Summary Data (40)'!$C$2:$L$249,6,1)</f>
        <v>1.7229460000000001</v>
      </c>
      <c r="H4" s="3">
        <f>VLOOKUP($A4,'Summary Data (40)'!$C$2:$L$249,7,1)</f>
        <v>0.88515250000000001</v>
      </c>
      <c r="I4" s="3" t="str">
        <f>VLOOKUP($A4,'Summary Data (40)'!$C$2:$L$249,4,0)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3.7356963748303005</v>
      </c>
      <c r="N4" s="3">
        <f t="shared" si="1"/>
        <v>11.20828095132881</v>
      </c>
      <c r="O4" s="3">
        <f t="shared" si="2"/>
        <v>8.0292617967033557</v>
      </c>
      <c r="P4" s="3">
        <f t="shared" si="3"/>
        <v>3.179019154625454</v>
      </c>
      <c r="Q4" s="5">
        <f t="shared" si="4"/>
        <v>0.39592919437882718</v>
      </c>
      <c r="R4" s="3">
        <f t="shared" si="5"/>
        <v>23.666151625811782</v>
      </c>
      <c r="S4" s="3">
        <f t="shared" si="6"/>
        <v>11.79531721274615</v>
      </c>
      <c r="T4" s="3">
        <f t="shared" si="7"/>
        <v>11.870834413065632</v>
      </c>
      <c r="U4" s="3">
        <f>VLOOKUP($A4,'Summary Data (40)'!$C$2:$N$249,11,0)</f>
        <v>0</v>
      </c>
      <c r="V4" s="3">
        <f>VLOOKUP($A4,'Summary Data (40)'!$C$2:$N$249,12,1)</f>
        <v>0</v>
      </c>
      <c r="W4" s="3">
        <f>VLOOKUP($A4,'Summary Data (40)'!$C$2:$N$249,11,1)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(40)'!$C$2:$L$249,3,0)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(40)'!$C$2:$L$249,5,1)</f>
        <v>-1.1472020000000001</v>
      </c>
      <c r="G5" s="3">
        <f>VLOOKUP($A5,'Summary Data (40)'!$C$2:$L$249,6,1)</f>
        <v>1.7114990000000001</v>
      </c>
      <c r="H5" s="3">
        <f>VLOOKUP($A5,'Summary Data (40)'!$C$2:$L$249,7,1)</f>
        <v>1.4492620000000001</v>
      </c>
      <c r="I5" s="3" t="str">
        <f>VLOOKUP($A5,'Summary Data (40)'!$C$2:$L$249,4,0)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3.9793856934768206</v>
      </c>
      <c r="N5" s="3">
        <f t="shared" si="1"/>
        <v>5.5741906750171371</v>
      </c>
      <c r="O5" s="3">
        <f t="shared" si="2"/>
        <v>8.8659173242253964</v>
      </c>
      <c r="P5" s="3">
        <f t="shared" si="3"/>
        <v>-3.2917266492082593</v>
      </c>
      <c r="Q5" s="5">
        <f t="shared" si="4"/>
        <v>-0.37127874407466949</v>
      </c>
      <c r="R5" s="3">
        <f t="shared" si="5"/>
        <v>111.35858600069317</v>
      </c>
      <c r="S5" s="3">
        <f t="shared" si="6"/>
        <v>93.056317865561383</v>
      </c>
      <c r="T5" s="3">
        <f t="shared" si="7"/>
        <v>18.302268135131783</v>
      </c>
      <c r="U5" s="3">
        <f>VLOOKUP($A5,'Summary Data (40)'!$C$2:$N$249,11,0)</f>
        <v>0</v>
      </c>
      <c r="V5" s="3">
        <f>VLOOKUP($A5,'Summary Data (40)'!$C$2:$N$249,12,1)</f>
        <v>0</v>
      </c>
      <c r="W5" s="3">
        <f>VLOOKUP($A5,'Summary Data (40)'!$C$2:$N$249,11,1)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(40)'!$C$2:$L$249,3,0)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(40)'!$C$2:$L$249,5,1)</f>
        <v>2.1106210000000001</v>
      </c>
      <c r="G6" s="3">
        <f>VLOOKUP($A6,'Summary Data (40)'!$C$2:$L$249,6,1)</f>
        <v>1.7249749999999999</v>
      </c>
      <c r="H6" s="3">
        <f>VLOOKUP($A6,'Summary Data (40)'!$C$2:$L$249,7,1)</f>
        <v>3.9670899999999998</v>
      </c>
      <c r="I6" s="3" t="str">
        <f>VLOOKUP($A6,'Summary Data (40)'!$C$2:$L$249,4,0)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4.9796640506906691</v>
      </c>
      <c r="N6" s="3">
        <f t="shared" si="1"/>
        <v>2.4932885408113115</v>
      </c>
      <c r="O6" s="3">
        <f t="shared" si="2"/>
        <v>2.5489458605470614</v>
      </c>
      <c r="P6" s="3">
        <f t="shared" si="3"/>
        <v>-5.5657319735749944E-2</v>
      </c>
      <c r="Q6" s="5">
        <f t="shared" si="4"/>
        <v>-2.183542640007451E-2</v>
      </c>
      <c r="R6" s="3">
        <f t="shared" si="5"/>
        <v>-77.654050540796021</v>
      </c>
      <c r="S6" s="3">
        <f t="shared" si="6"/>
        <v>120.41840715139296</v>
      </c>
      <c r="T6" s="3">
        <f t="shared" si="7"/>
        <v>161.92754230781102</v>
      </c>
      <c r="U6" s="3">
        <f>VLOOKUP($A6,'Summary Data (40)'!$C$2:$N$249,11,0)</f>
        <v>0</v>
      </c>
      <c r="V6" s="3">
        <f>VLOOKUP($A6,'Summary Data (40)'!$C$2:$N$249,12,1)</f>
        <v>0</v>
      </c>
      <c r="W6" s="3">
        <f>VLOOKUP($A6,'Summary Data (40)'!$C$2:$N$249,11,1)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(40)'!$C$2:$L$249,3,0)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(40)'!$C$2:$L$249,5,1)</f>
        <v>-4.1663959999999998</v>
      </c>
      <c r="G7" s="3">
        <f>VLOOKUP($A7,'Summary Data (40)'!$C$2:$L$249,6,1)</f>
        <v>1.7174469999999999</v>
      </c>
      <c r="H7" s="3">
        <f>VLOOKUP($A7,'Summary Data (40)'!$C$2:$L$249,7,1)</f>
        <v>-1.280708</v>
      </c>
      <c r="I7" s="3" t="str">
        <f>VLOOKUP($A7,'Summary Data (40)'!$C$2:$L$249,4,0)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4.3638325744785398</v>
      </c>
      <c r="N7" s="3">
        <f t="shared" si="1"/>
        <v>8.2706085736226207</v>
      </c>
      <c r="O7" s="3">
        <f t="shared" si="2"/>
        <v>4.3718971854333439</v>
      </c>
      <c r="P7" s="3">
        <f t="shared" si="3"/>
        <v>3.8987113881892768</v>
      </c>
      <c r="Q7" s="5">
        <f t="shared" si="4"/>
        <v>0.89176648553843685</v>
      </c>
      <c r="R7" s="3">
        <f t="shared" si="5"/>
        <v>177.02371934116897</v>
      </c>
      <c r="S7" s="3">
        <f t="shared" si="6"/>
        <v>158.26076626157797</v>
      </c>
      <c r="T7" s="3">
        <f t="shared" si="7"/>
        <v>18.762953079591</v>
      </c>
      <c r="U7" s="3">
        <f>VLOOKUP($A7,'Summary Data (40)'!$C$2:$N$249,11,0)</f>
        <v>0</v>
      </c>
      <c r="V7" s="3">
        <f>VLOOKUP($A7,'Summary Data (40)'!$C$2:$N$249,12,1)</f>
        <v>0</v>
      </c>
      <c r="W7" s="3">
        <f>VLOOKUP($A7,'Summary Data (40)'!$C$2:$N$249,11,1)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(40)'!$C$2:$L$249,3,0)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(40)'!$C$2:$L$249,5,1)</f>
        <v>0.1777792</v>
      </c>
      <c r="G8" s="3">
        <f>VLOOKUP($A8,'Summary Data (40)'!$C$2:$L$249,6,1)</f>
        <v>1.712642</v>
      </c>
      <c r="H8" s="3">
        <f>VLOOKUP($A8,'Summary Data (40)'!$C$2:$L$249,7,1)</f>
        <v>-3.1941000000000002</v>
      </c>
      <c r="I8" s="3" t="str">
        <f>VLOOKUP($A8,'Summary Data (40)'!$C$2:$L$249,4,0)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4.5268914327994034</v>
      </c>
      <c r="N8" s="3">
        <f t="shared" si="1"/>
        <v>5.4009594775329175</v>
      </c>
      <c r="O8" s="3">
        <f t="shared" si="2"/>
        <v>1.5015515309172709</v>
      </c>
      <c r="P8" s="3">
        <f t="shared" si="3"/>
        <v>3.8994079466156464</v>
      </c>
      <c r="Q8" s="5">
        <f t="shared" si="4"/>
        <v>2.5969191641618639</v>
      </c>
      <c r="R8" s="3">
        <f t="shared" si="5"/>
        <v>-85.071579131103505</v>
      </c>
      <c r="S8" s="3">
        <f t="shared" si="6"/>
        <v>-37.449260988610547</v>
      </c>
      <c r="T8" s="3">
        <f t="shared" si="7"/>
        <v>47.622318142492958</v>
      </c>
      <c r="U8" s="3">
        <f>VLOOKUP($A8,'Summary Data (40)'!$C$2:$N$249,11,0)</f>
        <v>0</v>
      </c>
      <c r="V8" s="3">
        <f>VLOOKUP($A8,'Summary Data (40)'!$C$2:$N$249,12,1)</f>
        <v>0</v>
      </c>
      <c r="W8" s="3">
        <f>VLOOKUP($A8,'Summary Data (40)'!$C$2:$N$249,11,1)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(40)'!$C$2:$L$249,3,0)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(40)'!$C$2:$L$249,5,1)</f>
        <v>0.1332364</v>
      </c>
      <c r="G9" s="3">
        <f>VLOOKUP($A9,'Summary Data (40)'!$C$2:$L$249,6,1)</f>
        <v>1.7177979999999999</v>
      </c>
      <c r="H9" s="3">
        <f>VLOOKUP($A9,'Summary Data (40)'!$C$2:$L$249,7,1)</f>
        <v>5.2244869999999999</v>
      </c>
      <c r="I9" s="3" t="str">
        <f>VLOOKUP($A9,'Summary Data (40)'!$C$2:$L$249,4,0)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4.3496031477197965</v>
      </c>
      <c r="N9" s="3">
        <f t="shared" si="1"/>
        <v>9.393089650879201</v>
      </c>
      <c r="O9" s="3">
        <f t="shared" si="2"/>
        <v>8.8659173242253964</v>
      </c>
      <c r="P9" s="3">
        <f t="shared" si="3"/>
        <v>0.52717232665380465</v>
      </c>
      <c r="Q9" s="5">
        <f t="shared" si="4"/>
        <v>5.9460550710680467E-2</v>
      </c>
      <c r="R9" s="3">
        <f t="shared" si="5"/>
        <v>111.35858600069317</v>
      </c>
      <c r="S9" s="3">
        <f t="shared" si="6"/>
        <v>83.99146733883785</v>
      </c>
      <c r="T9" s="3">
        <f t="shared" si="7"/>
        <v>27.367118661855315</v>
      </c>
      <c r="U9" s="3">
        <f>VLOOKUP($A9,'Summary Data (40)'!$C$2:$N$249,11,0)</f>
        <v>0</v>
      </c>
      <c r="V9" s="3">
        <f>VLOOKUP($A9,'Summary Data (40)'!$C$2:$N$249,12,1)</f>
        <v>0</v>
      </c>
      <c r="W9" s="3">
        <f>VLOOKUP($A9,'Summary Data (40)'!$C$2:$N$249,11,1)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(40)'!$C$2:$L$249,3,0)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(40)'!$C$2:$L$249,5,1)</f>
        <v>-0.84745429999999999</v>
      </c>
      <c r="G10" s="3">
        <f>VLOOKUP($A10,'Summary Data (40)'!$C$2:$L$249,6,1)</f>
        <v>1.723403</v>
      </c>
      <c r="H10" s="3">
        <f>VLOOKUP($A10,'Summary Data (40)'!$C$2:$L$249,7,1)</f>
        <v>-3.773962</v>
      </c>
      <c r="I10" s="3" t="str">
        <f>VLOOKUP($A10,'Summary Data (40)'!$C$2:$L$249,4,0)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4.4005314167305389</v>
      </c>
      <c r="N10" s="3">
        <f t="shared" si="1"/>
        <v>6.555079212460555</v>
      </c>
      <c r="O10" s="3">
        <f t="shared" si="2"/>
        <v>7.8871175977032326</v>
      </c>
      <c r="P10" s="3">
        <f t="shared" si="3"/>
        <v>-1.3320383852426776</v>
      </c>
      <c r="Q10" s="5">
        <f t="shared" si="4"/>
        <v>-0.16888785652575711</v>
      </c>
      <c r="R10" s="3">
        <f t="shared" si="5"/>
        <v>-63.65586590726528</v>
      </c>
      <c r="S10" s="3">
        <f t="shared" si="6"/>
        <v>-97.569165734481885</v>
      </c>
      <c r="T10" s="3">
        <f t="shared" si="7"/>
        <v>33.913299827216605</v>
      </c>
      <c r="U10" s="3">
        <f>VLOOKUP($A10,'Summary Data (40)'!$C$2:$N$249,11,0)</f>
        <v>0</v>
      </c>
      <c r="V10" s="3">
        <f>VLOOKUP($A10,'Summary Data (40)'!$C$2:$N$249,12,1)</f>
        <v>0</v>
      </c>
      <c r="W10" s="3">
        <f>VLOOKUP($A10,'Summary Data (40)'!$C$2:$N$249,11,1)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(40)'!$C$2:$L$249,3,0)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(40)'!$C$2:$L$249,5,1)</f>
        <v>-0.55094149999999997</v>
      </c>
      <c r="G11" s="3">
        <f>VLOOKUP($A11,'Summary Data (40)'!$C$2:$L$249,6,1)</f>
        <v>1.722156</v>
      </c>
      <c r="H11" s="3">
        <f>VLOOKUP($A11,'Summary Data (40)'!$C$2:$L$249,7,1)</f>
        <v>-3.9087589999999999</v>
      </c>
      <c r="I11" s="3" t="str">
        <f>VLOOKUP($A11,'Summary Data (40)'!$C$2:$L$249,4,0)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4.2460692323021831</v>
      </c>
      <c r="N11" s="3">
        <f t="shared" si="1"/>
        <v>5.3532206144061769</v>
      </c>
      <c r="O11" s="3">
        <f t="shared" si="2"/>
        <v>1.5015515309172709</v>
      </c>
      <c r="P11" s="3">
        <f t="shared" si="3"/>
        <v>3.8516690834889058</v>
      </c>
      <c r="Q11" s="5">
        <f t="shared" si="4"/>
        <v>2.5651261406499919</v>
      </c>
      <c r="R11" s="3">
        <f t="shared" si="5"/>
        <v>-85.071579131103505</v>
      </c>
      <c r="S11" s="3">
        <f t="shared" si="6"/>
        <v>-48.329614251687531</v>
      </c>
      <c r="T11" s="3">
        <f t="shared" si="7"/>
        <v>36.741964879415974</v>
      </c>
      <c r="U11" s="3">
        <f>VLOOKUP($A11,'Summary Data (40)'!$C$2:$N$249,11,0)</f>
        <v>0</v>
      </c>
      <c r="V11" s="3">
        <f>VLOOKUP($A11,'Summary Data (40)'!$C$2:$N$249,12,1)</f>
        <v>0</v>
      </c>
      <c r="W11" s="3">
        <f>VLOOKUP($A11,'Summary Data (40)'!$C$2:$N$249,11,1)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(40)'!$C$2:$L$249,3,0)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(40)'!$C$2:$L$249,5,1)</f>
        <v>4.0326610000000001</v>
      </c>
      <c r="G12" s="3">
        <f>VLOOKUP($A12,'Summary Data (40)'!$C$2:$L$249,6,1)</f>
        <v>1.719309</v>
      </c>
      <c r="H12" s="3">
        <f>VLOOKUP($A12,'Summary Data (40)'!$C$2:$L$249,7,1)</f>
        <v>1.623461</v>
      </c>
      <c r="I12" s="3" t="str">
        <f>VLOOKUP($A12,'Summary Data (40)'!$C$2:$L$249,4,0)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4.1647030721819771</v>
      </c>
      <c r="N12" s="3">
        <f t="shared" si="1"/>
        <v>8.4930567357955393</v>
      </c>
      <c r="O12" s="3">
        <f t="shared" si="2"/>
        <v>4.3329067610554466</v>
      </c>
      <c r="P12" s="3">
        <f t="shared" si="3"/>
        <v>4.1601499747400927</v>
      </c>
      <c r="Q12" s="5">
        <f t="shared" si="4"/>
        <v>0.96012912443256171</v>
      </c>
      <c r="R12" s="3">
        <f t="shared" si="5"/>
        <v>-19.074748100261683</v>
      </c>
      <c r="S12" s="3">
        <f t="shared" si="6"/>
        <v>-17.235834398732322</v>
      </c>
      <c r="T12" s="3">
        <f t="shared" si="7"/>
        <v>1.8389137015293606</v>
      </c>
      <c r="U12" s="3">
        <f>VLOOKUP($A12,'Summary Data (40)'!$C$2:$N$249,11,0)</f>
        <v>0</v>
      </c>
      <c r="V12" s="3">
        <f>VLOOKUP($A12,'Summary Data (40)'!$C$2:$N$249,12,1)</f>
        <v>0</v>
      </c>
      <c r="W12" s="3">
        <f>VLOOKUP($A12,'Summary Data (40)'!$C$2:$N$249,11,1)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(40)'!$C$2:$L$249,3,0)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(40)'!$C$2:$L$249,5,1)</f>
        <v>-4.1196780000000004</v>
      </c>
      <c r="G13" s="3">
        <f>VLOOKUP($A13,'Summary Data (40)'!$C$2:$L$249,6,1)</f>
        <v>1.722567</v>
      </c>
      <c r="H13" s="3">
        <f>VLOOKUP($A13,'Summary Data (40)'!$C$2:$L$249,7,1)</f>
        <v>-1.4181280000000001</v>
      </c>
      <c r="I13" s="3" t="str">
        <f>VLOOKUP($A13,'Summary Data (40)'!$C$2:$L$249,4,0)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4.2396585117280381</v>
      </c>
      <c r="N13" s="3">
        <f t="shared" si="1"/>
        <v>8.1770597087258707</v>
      </c>
      <c r="O13" s="3">
        <f t="shared" si="2"/>
        <v>4.3718971854333439</v>
      </c>
      <c r="P13" s="3">
        <f t="shared" si="3"/>
        <v>3.8051625232925268</v>
      </c>
      <c r="Q13" s="5">
        <f t="shared" si="4"/>
        <v>0.87036871223113121</v>
      </c>
      <c r="R13" s="3">
        <f t="shared" si="5"/>
        <v>177.02371934116897</v>
      </c>
      <c r="S13" s="3">
        <f t="shared" si="6"/>
        <v>159.0339514701482</v>
      </c>
      <c r="T13" s="3">
        <f t="shared" si="7"/>
        <v>17.989767871020774</v>
      </c>
      <c r="U13" s="3">
        <f>VLOOKUP($A13,'Summary Data (40)'!$C$2:$N$249,11,0)</f>
        <v>0</v>
      </c>
      <c r="V13" s="3">
        <f>VLOOKUP($A13,'Summary Data (40)'!$C$2:$N$249,12,1)</f>
        <v>0</v>
      </c>
      <c r="W13" s="3">
        <f>VLOOKUP($A13,'Summary Data (40)'!$C$2:$N$249,11,1)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(40)'!$C$2:$L$249,3,0)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(40)'!$C$2:$L$249,5,1)</f>
        <v>-0.58399369999999995</v>
      </c>
      <c r="G14" s="3">
        <f>VLOOKUP($A14,'Summary Data (40)'!$C$2:$L$249,6,1)</f>
        <v>1.7119139999999999</v>
      </c>
      <c r="H14" s="3">
        <f>VLOOKUP($A14,'Summary Data (40)'!$C$2:$L$249,7,1)</f>
        <v>3.0725280000000001</v>
      </c>
      <c r="I14" s="3" t="str">
        <f>VLOOKUP($A14,'Summary Data (40)'!$C$2:$L$249,4,0)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4.1514033411153495</v>
      </c>
      <c r="N14" s="3">
        <f t="shared" si="1"/>
        <v>5.6211088629400949</v>
      </c>
      <c r="O14" s="3">
        <f t="shared" si="2"/>
        <v>8.0292617967033557</v>
      </c>
      <c r="P14" s="3">
        <f t="shared" si="3"/>
        <v>-2.4081529337632608</v>
      </c>
      <c r="Q14" s="5">
        <f t="shared" si="4"/>
        <v>-0.29992208433806422</v>
      </c>
      <c r="R14" s="3">
        <f t="shared" si="5"/>
        <v>23.666151625811782</v>
      </c>
      <c r="S14" s="3">
        <f t="shared" si="6"/>
        <v>52.819335193364118</v>
      </c>
      <c r="T14" s="3">
        <f t="shared" si="7"/>
        <v>29.153183567552336</v>
      </c>
      <c r="U14" s="3">
        <f>VLOOKUP($A14,'Summary Data (40)'!$C$2:$N$249,11,0)</f>
        <v>0</v>
      </c>
      <c r="V14" s="3">
        <f>VLOOKUP($A14,'Summary Data (40)'!$C$2:$N$249,12,1)</f>
        <v>0</v>
      </c>
      <c r="W14" s="3">
        <f>VLOOKUP($A14,'Summary Data (40)'!$C$2:$N$249,11,1)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(40)'!$C$2:$L$249,3,0)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(40)'!$C$2:$L$249,5,1)</f>
        <v>-1.5044200000000001</v>
      </c>
      <c r="G15" s="3">
        <f>VLOOKUP($A15,'Summary Data (40)'!$C$2:$L$249,6,1)</f>
        <v>1.7192499999999999</v>
      </c>
      <c r="H15" s="3">
        <f>VLOOKUP($A15,'Summary Data (40)'!$C$2:$L$249,7,1)</f>
        <v>-4.2030919999999998</v>
      </c>
      <c r="I15" s="3" t="str">
        <f>VLOOKUP($A15,'Summary Data (40)'!$C$2:$L$249,4,0)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3.7359298913207675</v>
      </c>
      <c r="N15" s="3">
        <f t="shared" si="1"/>
        <v>5.0219205546149377</v>
      </c>
      <c r="O15" s="3">
        <f t="shared" si="2"/>
        <v>1.5015515309172709</v>
      </c>
      <c r="P15" s="3">
        <f t="shared" si="3"/>
        <v>3.5203690236976666</v>
      </c>
      <c r="Q15" s="5">
        <f t="shared" si="4"/>
        <v>2.3444876524131919</v>
      </c>
      <c r="R15" s="3">
        <f t="shared" si="5"/>
        <v>-85.071579131103505</v>
      </c>
      <c r="S15" s="3">
        <f t="shared" si="6"/>
        <v>-58.74543694343938</v>
      </c>
      <c r="T15" s="3">
        <f t="shared" si="7"/>
        <v>26.326142187664125</v>
      </c>
      <c r="U15" s="3">
        <f>VLOOKUP($A15,'Summary Data (40)'!$C$2:$N$249,11,0)</f>
        <v>0</v>
      </c>
      <c r="V15" s="3">
        <f>VLOOKUP($A15,'Summary Data (40)'!$C$2:$N$249,12,1)</f>
        <v>0</v>
      </c>
      <c r="W15" s="3">
        <f>VLOOKUP($A15,'Summary Data (40)'!$C$2:$N$249,11,1)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(40)'!$C$2:$L$249,3,0)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(40)'!$C$2:$L$249,5,1)</f>
        <v>3.1663100000000002</v>
      </c>
      <c r="G16" s="3">
        <f>VLOOKUP($A16,'Summary Data (40)'!$C$2:$L$249,6,1)</f>
        <v>1.7310620000000001</v>
      </c>
      <c r="H16" s="3">
        <f>VLOOKUP($A16,'Summary Data (40)'!$C$2:$L$249,7,1)</f>
        <v>2.9884200000000001</v>
      </c>
      <c r="I16" s="3" t="str">
        <f>VLOOKUP($A16,'Summary Data (40)'!$C$2:$L$249,4,0)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3.161387516977316</v>
      </c>
      <c r="N16" s="3">
        <f t="shared" si="1"/>
        <v>7.3362560950732894</v>
      </c>
      <c r="O16" s="3">
        <f t="shared" si="2"/>
        <v>4.3329067610554466</v>
      </c>
      <c r="P16" s="3">
        <f t="shared" si="3"/>
        <v>3.0033493340178428</v>
      </c>
      <c r="Q16" s="5">
        <f t="shared" si="4"/>
        <v>0.69314884894644291</v>
      </c>
      <c r="R16" s="3">
        <f t="shared" si="5"/>
        <v>-19.074748100261683</v>
      </c>
      <c r="S16" s="3">
        <f t="shared" si="6"/>
        <v>-9.0311300280257214</v>
      </c>
      <c r="T16" s="3">
        <f t="shared" si="7"/>
        <v>10.043618072235962</v>
      </c>
      <c r="U16" s="3">
        <f>VLOOKUP($A16,'Summary Data (40)'!$C$2:$N$249,11,0)</f>
        <v>0</v>
      </c>
      <c r="V16" s="3">
        <f>VLOOKUP($A16,'Summary Data (40)'!$C$2:$N$249,12,1)</f>
        <v>0</v>
      </c>
      <c r="W16" s="3">
        <f>VLOOKUP($A16,'Summary Data (40)'!$C$2:$N$249,11,1)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(40)'!$C$2:$L$249,3,0)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(40)'!$C$2:$L$249,5,1)</f>
        <v>-1.1509499999999999</v>
      </c>
      <c r="G17" s="3">
        <f>VLOOKUP($A17,'Summary Data (40)'!$C$2:$L$249,6,1)</f>
        <v>1.717598</v>
      </c>
      <c r="H17" s="3">
        <f>VLOOKUP($A17,'Summary Data (40)'!$C$2:$L$249,7,1)</f>
        <v>1.315266</v>
      </c>
      <c r="I17" s="3" t="str">
        <f>VLOOKUP($A17,'Summary Data (40)'!$C$2:$L$249,4,0)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3.2026947518076092</v>
      </c>
      <c r="N17" s="3">
        <f t="shared" si="1"/>
        <v>5.4449477306266223</v>
      </c>
      <c r="O17" s="3">
        <f t="shared" si="2"/>
        <v>8.0641771433916301</v>
      </c>
      <c r="P17" s="3">
        <f t="shared" si="3"/>
        <v>-2.6192294127650078</v>
      </c>
      <c r="Q17" s="5">
        <f t="shared" si="4"/>
        <v>-0.32479809981746172</v>
      </c>
      <c r="R17" s="3">
        <f t="shared" si="5"/>
        <v>174.57078263739461</v>
      </c>
      <c r="S17" s="3">
        <f t="shared" si="6"/>
        <v>158.58269591038453</v>
      </c>
      <c r="T17" s="3">
        <f t="shared" si="7"/>
        <v>15.988086727010085</v>
      </c>
      <c r="U17" s="3">
        <f>VLOOKUP($A17,'Summary Data (40)'!$C$2:$N$249,11,0)</f>
        <v>0</v>
      </c>
      <c r="V17" s="3">
        <f>VLOOKUP($A17,'Summary Data (40)'!$C$2:$N$249,12,1)</f>
        <v>0</v>
      </c>
      <c r="W17" s="3">
        <f>VLOOKUP($A17,'Summary Data (40)'!$C$2:$N$249,11,1)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(40)'!$C$2:$L$249,3,0)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(40)'!$C$2:$L$249,5,1)</f>
        <v>0.65261480000000005</v>
      </c>
      <c r="G18" s="3">
        <f>VLOOKUP($A18,'Summary Data (40)'!$C$2:$L$249,6,1)</f>
        <v>1.715543</v>
      </c>
      <c r="H18" s="3">
        <f>VLOOKUP($A18,'Summary Data (40)'!$C$2:$L$249,7,1)</f>
        <v>-1.8681080000000001</v>
      </c>
      <c r="I18" s="3" t="str">
        <f>VLOOKUP($A18,'Summary Data (40)'!$C$2:$L$249,4,0)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3.4772149252013516</v>
      </c>
      <c r="N18" s="3">
        <f t="shared" si="1"/>
        <v>4.5804493893113847</v>
      </c>
      <c r="O18" s="3">
        <f t="shared" si="2"/>
        <v>2.5489458605470614</v>
      </c>
      <c r="P18" s="3">
        <f t="shared" si="3"/>
        <v>2.0315035287643233</v>
      </c>
      <c r="Q18" s="5">
        <f t="shared" si="4"/>
        <v>0.79699751972304222</v>
      </c>
      <c r="R18" s="3">
        <f t="shared" si="5"/>
        <v>-77.654050540796021</v>
      </c>
      <c r="S18" s="3">
        <f t="shared" si="6"/>
        <v>-126.43513072154521</v>
      </c>
      <c r="T18" s="3">
        <f t="shared" si="7"/>
        <v>48.781080180749186</v>
      </c>
      <c r="U18" s="3">
        <f>VLOOKUP($A18,'Summary Data (40)'!$C$2:$N$249,11,0)</f>
        <v>0</v>
      </c>
      <c r="V18" s="3">
        <f>VLOOKUP($A18,'Summary Data (40)'!$C$2:$N$249,12,1)</f>
        <v>0</v>
      </c>
      <c r="W18" s="3">
        <f>VLOOKUP($A18,'Summary Data (40)'!$C$2:$N$249,11,1)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(40)'!$C$2:$L$249,3,0)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(40)'!$C$2:$L$249,5,1)</f>
        <v>2.1692269999999998</v>
      </c>
      <c r="G19" s="3">
        <f>VLOOKUP($A19,'Summary Data (40)'!$C$2:$L$249,6,1)</f>
        <v>1.716156</v>
      </c>
      <c r="H19" s="3">
        <f>VLOOKUP($A19,'Summary Data (40)'!$C$2:$L$249,7,1)</f>
        <v>6.4462659999999996</v>
      </c>
      <c r="I19" s="3" t="str">
        <f>VLOOKUP($A19,'Summary Data (40)'!$C$2:$L$249,4,0)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4.7832178639787042</v>
      </c>
      <c r="N19" s="3">
        <f t="shared" si="1"/>
        <v>9.97413522498492</v>
      </c>
      <c r="O19" s="3">
        <f t="shared" si="2"/>
        <v>8.0292617967033557</v>
      </c>
      <c r="P19" s="3">
        <f t="shared" si="3"/>
        <v>1.9448734282815643</v>
      </c>
      <c r="Q19" s="5">
        <f t="shared" si="4"/>
        <v>0.24222319280710064</v>
      </c>
      <c r="R19" s="3">
        <f t="shared" si="5"/>
        <v>23.666151625811782</v>
      </c>
      <c r="S19" s="3">
        <f t="shared" si="6"/>
        <v>51.930450128784166</v>
      </c>
      <c r="T19" s="3">
        <f t="shared" si="7"/>
        <v>28.264298502972384</v>
      </c>
      <c r="U19" s="3">
        <f>VLOOKUP($A19,'Summary Data (40)'!$C$2:$N$249,11,0)</f>
        <v>0</v>
      </c>
      <c r="V19" s="3">
        <f>VLOOKUP($A19,'Summary Data (40)'!$C$2:$N$249,12,1)</f>
        <v>0</v>
      </c>
      <c r="W19" s="3">
        <f>VLOOKUP($A19,'Summary Data (40)'!$C$2:$N$249,11,1)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(40)'!$C$2:$L$249,3,0)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(40)'!$C$2:$L$249,5,1)</f>
        <v>-0.22608110000000001</v>
      </c>
      <c r="G20" s="3">
        <f>VLOOKUP($A20,'Summary Data (40)'!$C$2:$L$249,6,1)</f>
        <v>1.7153510000000001</v>
      </c>
      <c r="H20" s="3">
        <f>VLOOKUP($A20,'Summary Data (40)'!$C$2:$L$249,7,1)</f>
        <v>-4.5636869999999998</v>
      </c>
      <c r="I20" s="3" t="str">
        <f>VLOOKUP($A20,'Summary Data (40)'!$C$2:$L$249,4,0)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3.7485241545101733</v>
      </c>
      <c r="N20" s="3">
        <f t="shared" si="1"/>
        <v>7.2917065950946087</v>
      </c>
      <c r="O20" s="3">
        <f t="shared" si="2"/>
        <v>7.8871175977032326</v>
      </c>
      <c r="P20" s="3">
        <f t="shared" si="3"/>
        <v>-0.5954110026086239</v>
      </c>
      <c r="Q20" s="5">
        <f t="shared" si="4"/>
        <v>-7.5491584248979685E-2</v>
      </c>
      <c r="R20" s="3">
        <f t="shared" si="5"/>
        <v>-63.65586590726528</v>
      </c>
      <c r="S20" s="3">
        <f t="shared" si="6"/>
        <v>-91.902541523238142</v>
      </c>
      <c r="T20" s="3">
        <f t="shared" si="7"/>
        <v>28.246675615972862</v>
      </c>
      <c r="U20" s="3">
        <f>VLOOKUP($A20,'Summary Data (40)'!$C$2:$N$249,11,0)</f>
        <v>0</v>
      </c>
      <c r="V20" s="3">
        <f>VLOOKUP($A20,'Summary Data (40)'!$C$2:$N$249,12,1)</f>
        <v>0</v>
      </c>
      <c r="W20" s="3">
        <f>VLOOKUP($A20,'Summary Data (40)'!$C$2:$N$249,11,1)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(40)'!$C$2:$L$249,3,0)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(40)'!$C$2:$L$249,5,1)</f>
        <v>0.97473240000000005</v>
      </c>
      <c r="G21" s="3">
        <f>VLOOKUP($A21,'Summary Data (40)'!$C$2:$L$249,6,1)</f>
        <v>1.7176260000000001</v>
      </c>
      <c r="H21" s="3">
        <f>VLOOKUP($A21,'Summary Data (40)'!$C$2:$L$249,7,1)</f>
        <v>2.8765740000000002</v>
      </c>
      <c r="I21" s="3" t="str">
        <f>VLOOKUP($A21,'Summary Data (40)'!$C$2:$L$249,4,0)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4.6111061304946954</v>
      </c>
      <c r="N21" s="3">
        <f t="shared" si="1"/>
        <v>2.6219047546937628</v>
      </c>
      <c r="O21" s="3">
        <f t="shared" si="2"/>
        <v>2.5489458605470614</v>
      </c>
      <c r="P21" s="3">
        <f t="shared" si="3"/>
        <v>7.2958894146701425E-2</v>
      </c>
      <c r="Q21" s="5">
        <f t="shared" si="4"/>
        <v>2.8623163510833768E-2</v>
      </c>
      <c r="R21" s="3">
        <f t="shared" si="5"/>
        <v>-77.654050540796021</v>
      </c>
      <c r="S21" s="3">
        <f t="shared" si="6"/>
        <v>156.16377110367108</v>
      </c>
      <c r="T21" s="3">
        <f t="shared" si="7"/>
        <v>126.1821783555329</v>
      </c>
      <c r="U21" s="3">
        <f>VLOOKUP($A21,'Summary Data (40)'!$C$2:$N$249,11,0)</f>
        <v>0</v>
      </c>
      <c r="V21" s="3">
        <f>VLOOKUP($A21,'Summary Data (40)'!$C$2:$N$249,12,1)</f>
        <v>0</v>
      </c>
      <c r="W21" s="3">
        <f>VLOOKUP($A21,'Summary Data (40)'!$C$2:$N$249,11,1)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(40)'!$C$2:$L$249,3,0)</f>
        <v>Car</v>
      </c>
      <c r="C22" s="3">
        <f>VLOOKUP($B22,Distances!$A$2:$D$9,2,0)</f>
        <v>-4.1100000000000003</v>
      </c>
      <c r="D22" s="3">
        <f>VLOOKUP($B22,Distances!$A$2:$D$9,3,0)</f>
        <v>0</v>
      </c>
      <c r="E22" s="3">
        <f>VLOOKUP($B22,Distances!$A$2:$D$9,4,0)</f>
        <v>0.09</v>
      </c>
      <c r="F22" s="3">
        <f>VLOOKUP($A22,'Summary Data (40)'!$C$2:$L$249,5,1)</f>
        <v>-0.23847009999999999</v>
      </c>
      <c r="G22" s="3">
        <f>VLOOKUP($A22,'Summary Data (40)'!$C$2:$L$249,6,1)</f>
        <v>1.7164010000000001</v>
      </c>
      <c r="H22" s="3">
        <f>VLOOKUP($A22,'Summary Data (40)'!$C$2:$L$249,7,1)</f>
        <v>-4.6499550000000003</v>
      </c>
      <c r="I22" s="3" t="str">
        <f>VLOOKUP($A22,'Summary Data (40)'!$C$2:$L$249,4,0)</f>
        <v>Well</v>
      </c>
      <c r="J22" s="3">
        <f>VLOOKUP($I22,Distances!$A$2:$D$9,2,0)</f>
        <v>-3.9809999999999999</v>
      </c>
      <c r="K22" s="3">
        <f>VLOOKUP($I22,Distances!$A$2:$D$9,3,0)</f>
        <v>0</v>
      </c>
      <c r="L22" s="3">
        <f>VLOOKUP($I22,Distances!$A$2:$D$9,4,0)</f>
        <v>-1.4059999999999999</v>
      </c>
      <c r="M22" s="3">
        <f t="shared" si="0"/>
        <v>4.9527541928122192</v>
      </c>
      <c r="N22" s="3">
        <f t="shared" si="1"/>
        <v>6.1201239504293552</v>
      </c>
      <c r="O22" s="3">
        <f t="shared" si="2"/>
        <v>1.5015515309172709</v>
      </c>
      <c r="P22" s="3">
        <f t="shared" si="3"/>
        <v>4.6185724195120841</v>
      </c>
      <c r="Q22" s="5">
        <f t="shared" si="4"/>
        <v>3.075866744773442</v>
      </c>
      <c r="R22" s="3">
        <f t="shared" si="5"/>
        <v>-85.071579131103505</v>
      </c>
      <c r="S22" s="3">
        <f t="shared" si="6"/>
        <v>-50.758524070109424</v>
      </c>
      <c r="T22" s="3">
        <f t="shared" si="7"/>
        <v>34.313055060994081</v>
      </c>
      <c r="U22" s="3">
        <f>VLOOKUP($A22,'Summary Data (40)'!$C$2:$N$249,11,0)</f>
        <v>0</v>
      </c>
      <c r="V22" s="3">
        <f>VLOOKUP($A22,'Summary Data (40)'!$C$2:$N$249,12,1)</f>
        <v>0</v>
      </c>
      <c r="W22" s="3">
        <f>VLOOKUP($A22,'Summary Data (40)'!$C$2:$N$249,11,1)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(40)'!$C$2:$L$249,3,0)</f>
        <v>Chair and Table</v>
      </c>
      <c r="C23" s="3">
        <f>VLOOKUP($B23,Distances!$A$2:$D$9,2,0)</f>
        <v>3.516</v>
      </c>
      <c r="D23" s="3">
        <f>VLOOKUP($B23,Distances!$A$2:$D$9,3,0)</f>
        <v>0</v>
      </c>
      <c r="E23" s="3">
        <f>VLOOKUP($B23,Distances!$A$2:$D$9,4,0)</f>
        <v>-4.3440000000000003</v>
      </c>
      <c r="F23" s="3">
        <f>VLOOKUP($A23,'Summary Data (40)'!$C$2:$L$249,5,1)</f>
        <v>-2.103866</v>
      </c>
      <c r="G23" s="3">
        <f>VLOOKUP($A23,'Summary Data (40)'!$C$2:$L$249,6,1)</f>
        <v>1.7162299999999999</v>
      </c>
      <c r="H23" s="3">
        <f>VLOOKUP($A23,'Summary Data (40)'!$C$2:$L$249,7,1)</f>
        <v>-0.75543899999999997</v>
      </c>
      <c r="I23" s="3" t="str">
        <f>VLOOKUP($A23,'Summary Data (40)'!$C$2:$L$249,4,0)</f>
        <v>Phonebooth</v>
      </c>
      <c r="J23" s="3">
        <f>VLOOKUP($I23,Distances!$A$2:$D$9,2,0)</f>
        <v>-0.85</v>
      </c>
      <c r="K23" s="3">
        <f>VLOOKUP($I23,Distances!$A$2:$D$9,3,0)</f>
        <v>0</v>
      </c>
      <c r="L23" s="3">
        <f>VLOOKUP($I23,Distances!$A$2:$D$9,4,0)</f>
        <v>-4.117</v>
      </c>
      <c r="M23" s="3">
        <f t="shared" si="0"/>
        <v>3.5877949081123632</v>
      </c>
      <c r="N23" s="3">
        <f t="shared" si="1"/>
        <v>6.6678830155212685</v>
      </c>
      <c r="O23" s="3">
        <f t="shared" si="2"/>
        <v>4.3718971854333439</v>
      </c>
      <c r="P23" s="3">
        <f t="shared" si="3"/>
        <v>2.2959858300879246</v>
      </c>
      <c r="Q23" s="5">
        <f t="shared" si="4"/>
        <v>0.52516921892351076</v>
      </c>
      <c r="R23" s="3">
        <f t="shared" si="5"/>
        <v>177.02371934116897</v>
      </c>
      <c r="S23" s="3">
        <f t="shared" si="6"/>
        <v>147.43976576079524</v>
      </c>
      <c r="T23" s="3">
        <f t="shared" si="7"/>
        <v>29.583953580373731</v>
      </c>
      <c r="U23" s="3">
        <f>VLOOKUP($A23,'Summary Data (40)'!$C$2:$N$249,11,0)</f>
        <v>0</v>
      </c>
      <c r="V23" s="3">
        <f>VLOOKUP($A23,'Summary Data (40)'!$C$2:$N$249,12,1)</f>
        <v>0</v>
      </c>
      <c r="W23" s="3">
        <f>VLOOKUP($A23,'Summary Data (40)'!$C$2:$N$249,11,1)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(40)'!$C$2:$L$249,3,0)</f>
        <v>Phonebooth</v>
      </c>
      <c r="C24" s="3">
        <f>VLOOKUP($B24,Distances!$A$2:$D$9,2,0)</f>
        <v>-0.85</v>
      </c>
      <c r="D24" s="3">
        <f>VLOOKUP($B24,Distances!$A$2:$D$9,3,0)</f>
        <v>0</v>
      </c>
      <c r="E24" s="3">
        <f>VLOOKUP($B24,Distances!$A$2:$D$9,4,0)</f>
        <v>-4.117</v>
      </c>
      <c r="F24" s="3">
        <f>VLOOKUP($A24,'Summary Data (40)'!$C$2:$L$249,5,1)</f>
        <v>-0.98898580000000003</v>
      </c>
      <c r="G24" s="3">
        <f>VLOOKUP($A24,'Summary Data (40)'!$C$2:$L$249,6,1)</f>
        <v>1.717789</v>
      </c>
      <c r="H24" s="3">
        <f>VLOOKUP($A24,'Summary Data (40)'!$C$2:$L$249,7,1)</f>
        <v>2.8315670000000002</v>
      </c>
      <c r="I24" s="3" t="str">
        <f>VLOOKUP($A24,'Summary Data (40)'!$C$2:$L$249,4,0)</f>
        <v>Clock</v>
      </c>
      <c r="J24" s="3">
        <f>VLOOKUP($I24,Distances!$A$2:$D$9,2,0)</f>
        <v>-4.0789999999999997</v>
      </c>
      <c r="K24" s="3">
        <f>VLOOKUP($I24,Distances!$A$2:$D$9,3,0)</f>
        <v>0</v>
      </c>
      <c r="L24" s="3">
        <f>VLOOKUP($I24,Distances!$A$2:$D$9,4,0)</f>
        <v>4.1399999999999997</v>
      </c>
      <c r="M24" s="3">
        <f t="shared" si="0"/>
        <v>3.3556198640028696</v>
      </c>
      <c r="N24" s="3">
        <f t="shared" si="1"/>
        <v>6.9499568636136626</v>
      </c>
      <c r="O24" s="3">
        <f t="shared" si="2"/>
        <v>8.8659173242253964</v>
      </c>
      <c r="P24" s="3">
        <f t="shared" si="3"/>
        <v>-1.9159604606117338</v>
      </c>
      <c r="Q24" s="5">
        <f t="shared" si="4"/>
        <v>-0.21610402968416229</v>
      </c>
      <c r="R24" s="3">
        <f t="shared" si="5"/>
        <v>111.35858600069317</v>
      </c>
      <c r="S24" s="3">
        <f t="shared" si="6"/>
        <v>91.145882023277736</v>
      </c>
      <c r="T24" s="3">
        <f t="shared" si="7"/>
        <v>20.21270397741543</v>
      </c>
      <c r="U24" s="3">
        <f>VLOOKUP($A24,'Summary Data (40)'!$C$2:$N$249,11,0)</f>
        <v>0</v>
      </c>
      <c r="V24" s="3">
        <f>VLOOKUP($A24,'Summary Data (40)'!$C$2:$N$249,12,1)</f>
        <v>0</v>
      </c>
      <c r="W24" s="3">
        <f>VLOOKUP($A24,'Summary Data (40)'!$C$2:$N$249,11,1)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(40)'!$C$2:$L$249,3,0)</f>
        <v>Snowman</v>
      </c>
      <c r="C25" s="3">
        <f>VLOOKUP($B25,Distances!$A$2:$D$9,2,0)</f>
        <v>3.9180000000000001</v>
      </c>
      <c r="D25" s="3">
        <f>VLOOKUP($B25,Distances!$A$2:$D$9,3,0)</f>
        <v>0</v>
      </c>
      <c r="E25" s="3">
        <f>VLOOKUP($B25,Distances!$A$2:$D$9,4,0)</f>
        <v>-0.67300000000000004</v>
      </c>
      <c r="F25" s="3">
        <f>VLOOKUP($A25,'Summary Data (40)'!$C$2:$L$249,5,1)</f>
        <v>-5.3244179999999997</v>
      </c>
      <c r="G25" s="3">
        <f>VLOOKUP($A25,'Summary Data (40)'!$C$2:$L$249,6,1)</f>
        <v>1.717241</v>
      </c>
      <c r="H25" s="3">
        <f>VLOOKUP($A25,'Summary Data (40)'!$C$2:$L$249,7,1)</f>
        <v>2.5515059999999998</v>
      </c>
      <c r="I25" s="3" t="str">
        <f>VLOOKUP($A25,'Summary Data (40)'!$C$2:$L$249,4,0)</f>
        <v>Car</v>
      </c>
      <c r="J25" s="3">
        <f>VLOOKUP($I25,Distances!$A$2:$D$9,2,0)</f>
        <v>-4.1100000000000003</v>
      </c>
      <c r="K25" s="3">
        <f>VLOOKUP($I25,Distances!$A$2:$D$9,3,0)</f>
        <v>0</v>
      </c>
      <c r="L25" s="3">
        <f>VLOOKUP($I25,Distances!$A$2:$D$9,4,0)</f>
        <v>0.09</v>
      </c>
      <c r="M25" s="3">
        <f t="shared" si="0"/>
        <v>2.7447810234625272</v>
      </c>
      <c r="N25" s="3">
        <f t="shared" si="1"/>
        <v>9.7887552544110541</v>
      </c>
      <c r="O25" s="3">
        <f t="shared" si="2"/>
        <v>8.0641771433916301</v>
      </c>
      <c r="P25" s="3">
        <f t="shared" si="3"/>
        <v>1.724578111019424</v>
      </c>
      <c r="Q25" s="5">
        <f t="shared" si="4"/>
        <v>0.21385667506481651</v>
      </c>
      <c r="R25" s="3">
        <f t="shared" si="5"/>
        <v>174.57078263739461</v>
      </c>
      <c r="S25" s="3">
        <f t="shared" si="6"/>
        <v>160.7670799627127</v>
      </c>
      <c r="T25" s="3">
        <f t="shared" si="7"/>
        <v>13.803702674681915</v>
      </c>
      <c r="U25" s="3">
        <f>VLOOKUP($A25,'Summary Data (40)'!$C$2:$N$249,11,0)</f>
        <v>0</v>
      </c>
      <c r="V25" s="3">
        <f>VLOOKUP($A25,'Summary Data (40)'!$C$2:$N$249,12,1)</f>
        <v>0</v>
      </c>
      <c r="W25" s="3">
        <f>VLOOKUP($A25,'Summary Data (40)'!$C$2:$N$249,11,1)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(40)'!$C$2:$L$249,3,0)</f>
        <v>Clock</v>
      </c>
      <c r="C26" s="3">
        <f>VLOOKUP($B26,Distances!$A$2:$D$9,2,0)</f>
        <v>-4.0789999999999997</v>
      </c>
      <c r="D26" s="3">
        <f>VLOOKUP($B26,Distances!$A$2:$D$9,3,0)</f>
        <v>0</v>
      </c>
      <c r="E26" s="3">
        <f>VLOOKUP($B26,Distances!$A$2:$D$9,4,0)</f>
        <v>4.1399999999999997</v>
      </c>
      <c r="F26" s="3">
        <f>VLOOKUP($A26,'Summary Data (40)'!$C$2:$L$249,5,1)</f>
        <v>3.7492589999999999</v>
      </c>
      <c r="G26" s="3">
        <f>VLOOKUP($A26,'Summary Data (40)'!$C$2:$L$249,6,1)</f>
        <v>1.7233130000000001</v>
      </c>
      <c r="H26" s="3">
        <f>VLOOKUP($A26,'Summary Data (40)'!$C$2:$L$249,7,1)</f>
        <v>2.5098150000000001</v>
      </c>
      <c r="I26" s="3" t="str">
        <f>VLOOKUP($A26,'Summary Data (40)'!$C$2:$L$249,4,0)</f>
        <v>Treasure Chest</v>
      </c>
      <c r="J26" s="3">
        <f>VLOOKUP($I26,Distances!$A$2:$D$9,2,0)</f>
        <v>1.6E-2</v>
      </c>
      <c r="K26" s="3">
        <f>VLOOKUP($I26,Distances!$A$2:$D$9,3,0)</f>
        <v>0</v>
      </c>
      <c r="L26" s="3">
        <f>VLOOKUP($I26,Distances!$A$2:$D$9,4,0)</f>
        <v>2.7240000000000002</v>
      </c>
      <c r="M26" s="3">
        <f t="shared" si="0"/>
        <v>3.7393980766035058</v>
      </c>
      <c r="N26" s="3">
        <f t="shared" si="1"/>
        <v>7.9961954769318879</v>
      </c>
      <c r="O26" s="3">
        <f t="shared" si="2"/>
        <v>4.3329067610554466</v>
      </c>
      <c r="P26" s="3">
        <f t="shared" si="3"/>
        <v>3.6632887158764413</v>
      </c>
      <c r="Q26" s="5">
        <f t="shared" si="4"/>
        <v>0.84545754568328313</v>
      </c>
      <c r="R26" s="3">
        <f t="shared" si="5"/>
        <v>-19.074748100261683</v>
      </c>
      <c r="S26" s="3">
        <f t="shared" si="6"/>
        <v>-11.763362519772</v>
      </c>
      <c r="T26" s="3">
        <f t="shared" si="7"/>
        <v>7.3113855804896826</v>
      </c>
      <c r="U26" s="3">
        <f>VLOOKUP($A26,'Summary Data (40)'!$C$2:$N$249,11,0)</f>
        <v>0</v>
      </c>
      <c r="V26" s="3">
        <f>VLOOKUP($A26,'Summary Data (40)'!$C$2:$N$249,12,1)</f>
        <v>0</v>
      </c>
      <c r="W26" s="3">
        <f>VLOOKUP($A26,'Summary Data (40)'!$C$2:$N$249,11,1)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(40)'!$C$2:$L$249,3,0)</f>
        <v>Phonebooth</v>
      </c>
      <c r="C27" s="3">
        <f>VLOOKUP($B27,Distances!$A$2:$D$9,2,0)</f>
        <v>-0.85</v>
      </c>
      <c r="D27" s="3">
        <f>VLOOKUP($B27,Distances!$A$2:$D$9,3,0)</f>
        <v>0</v>
      </c>
      <c r="E27" s="3">
        <f>VLOOKUP($B27,Distances!$A$2:$D$9,4,0)</f>
        <v>-4.117</v>
      </c>
      <c r="F27" s="3">
        <f>VLOOKUP($A27,'Summary Data (40)'!$C$2:$L$249,5,1)</f>
        <v>-5.163481</v>
      </c>
      <c r="G27" s="3">
        <f>VLOOKUP($A27,'Summary Data (40)'!$C$2:$L$249,6,1)</f>
        <v>1.7077830000000001</v>
      </c>
      <c r="H27" s="3">
        <f>VLOOKUP($A27,'Summary Data (40)'!$C$2:$L$249,7,1)</f>
        <v>0.1101379</v>
      </c>
      <c r="I27" s="3" t="str">
        <f>VLOOKUP($A27,'Summary Data (40)'!$C$2:$L$249,4,0)</f>
        <v>Clock</v>
      </c>
      <c r="J27" s="3">
        <f>VLOOKUP($I27,Distances!$A$2:$D$9,2,0)</f>
        <v>-4.0789999999999997</v>
      </c>
      <c r="K27" s="3">
        <f>VLOOKUP($I27,Distances!$A$2:$D$9,3,0)</f>
        <v>0</v>
      </c>
      <c r="L27" s="3">
        <f>VLOOKUP($I27,Distances!$A$2:$D$9,4,0)</f>
        <v>4.1399999999999997</v>
      </c>
      <c r="M27" s="3">
        <f t="shared" si="0"/>
        <v>4.173234666823495</v>
      </c>
      <c r="N27" s="3">
        <f t="shared" si="1"/>
        <v>6.0394381496110556</v>
      </c>
      <c r="O27" s="3">
        <f t="shared" si="2"/>
        <v>8.8659173242253964</v>
      </c>
      <c r="P27" s="3">
        <f t="shared" si="3"/>
        <v>-2.8264791746143407</v>
      </c>
      <c r="Q27" s="5">
        <f t="shared" si="4"/>
        <v>-0.31880278951972818</v>
      </c>
      <c r="R27" s="3">
        <f t="shared" si="5"/>
        <v>111.35858600069317</v>
      </c>
      <c r="S27" s="3">
        <f t="shared" si="6"/>
        <v>135.57922344356058</v>
      </c>
      <c r="T27" s="3">
        <f t="shared" si="7"/>
        <v>24.220637442867414</v>
      </c>
      <c r="U27" s="3">
        <f>VLOOKUP($A27,'Summary Data (40)'!$C$2:$N$249,11,0)</f>
        <v>0</v>
      </c>
      <c r="V27" s="3">
        <f>VLOOKUP($A27,'Summary Data (40)'!$C$2:$N$249,12,1)</f>
        <v>0</v>
      </c>
      <c r="W27" s="3">
        <f>VLOOKUP($A27,'Summary Data (40)'!$C$2:$N$249,11,1)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(40)'!$C$2:$L$249,3,0)</f>
        <v>Guitar</v>
      </c>
      <c r="C28" s="3">
        <f>VLOOKUP($B28,Distances!$A$2:$D$9,2,0)</f>
        <v>3.3730000000000002</v>
      </c>
      <c r="D28" s="3">
        <f>VLOOKUP($B28,Distances!$A$2:$D$9,3,0)</f>
        <v>0</v>
      </c>
      <c r="E28" s="3">
        <f>VLOOKUP($B28,Distances!$A$2:$D$9,4,0)</f>
        <v>1.8169999999999999</v>
      </c>
      <c r="F28" s="3">
        <f>VLOOKUP($A28,'Summary Data (40)'!$C$2:$L$249,5,1)</f>
        <v>4.0144380000000002</v>
      </c>
      <c r="G28" s="3">
        <f>VLOOKUP($A28,'Summary Data (40)'!$C$2:$L$249,6,1)</f>
        <v>1.714072</v>
      </c>
      <c r="H28" s="3">
        <f>VLOOKUP($A28,'Summary Data (40)'!$C$2:$L$249,7,1)</f>
        <v>3.653572</v>
      </c>
      <c r="I28" s="3" t="str">
        <f>VLOOKUP($A28,'Summary Data (40)'!$C$2:$L$249,4,0)</f>
        <v>Snowman</v>
      </c>
      <c r="J28" s="3">
        <f>VLOOKUP($I28,Distances!$A$2:$D$9,2,0)</f>
        <v>3.9180000000000001</v>
      </c>
      <c r="K28" s="3">
        <f>VLOOKUP($I28,Distances!$A$2:$D$9,3,0)</f>
        <v>0</v>
      </c>
      <c r="L28" s="3">
        <f>VLOOKUP($I28,Distances!$A$2:$D$9,4,0)</f>
        <v>-0.67300000000000004</v>
      </c>
      <c r="M28" s="3">
        <f t="shared" si="0"/>
        <v>4.3276466536707918</v>
      </c>
      <c r="N28" s="3">
        <f t="shared" si="1"/>
        <v>1.9453635698830181</v>
      </c>
      <c r="O28" s="3">
        <f t="shared" si="2"/>
        <v>2.5489458605470614</v>
      </c>
      <c r="P28" s="3">
        <f t="shared" si="3"/>
        <v>-0.60358229066404334</v>
      </c>
      <c r="Q28" s="5">
        <f t="shared" si="4"/>
        <v>-0.23679682648673478</v>
      </c>
      <c r="R28" s="3">
        <f t="shared" si="5"/>
        <v>-77.654050540796021</v>
      </c>
      <c r="S28" s="3">
        <f t="shared" si="6"/>
        <v>70.747821538233126</v>
      </c>
      <c r="T28" s="3">
        <f t="shared" si="7"/>
        <v>148.40187207902915</v>
      </c>
      <c r="U28" s="3">
        <f>VLOOKUP($A28,'Summary Data (40)'!$C$2:$N$249,11,0)</f>
        <v>0</v>
      </c>
      <c r="V28" s="3">
        <f>VLOOKUP($A28,'Summary Data (40)'!$C$2:$N$249,12,1)</f>
        <v>0</v>
      </c>
      <c r="W28" s="3">
        <f>VLOOKUP($A28,'Summary Data (40)'!$C$2:$N$249,11,1)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(40)'!$C$2:$L$249,3,0)</f>
        <v>Clock</v>
      </c>
      <c r="C29" s="3">
        <f>VLOOKUP($B29,Distances!$A$2:$D$9,2,0)</f>
        <v>-4.0789999999999997</v>
      </c>
      <c r="D29" s="3">
        <f>VLOOKUP($B29,Distances!$A$2:$D$9,3,0)</f>
        <v>0</v>
      </c>
      <c r="E29" s="3">
        <f>VLOOKUP($B29,Distances!$A$2:$D$9,4,0)</f>
        <v>4.1399999999999997</v>
      </c>
      <c r="F29" s="3">
        <f>VLOOKUP($A29,'Summary Data (40)'!$C$2:$L$249,5,1)</f>
        <v>3.3743050000000001</v>
      </c>
      <c r="G29" s="3">
        <f>VLOOKUP($A29,'Summary Data (40)'!$C$2:$L$249,6,1)</f>
        <v>1.712439</v>
      </c>
      <c r="H29" s="3">
        <f>VLOOKUP($A29,'Summary Data (40)'!$C$2:$L$249,7,1)</f>
        <v>4.7019719999999996</v>
      </c>
      <c r="I29" s="3" t="str">
        <f>VLOOKUP($A29,'Summary Data (40)'!$C$2:$L$249,4,0)</f>
        <v>Treasure Chest</v>
      </c>
      <c r="J29" s="3">
        <f>VLOOKUP($I29,Distances!$A$2:$D$9,2,0)</f>
        <v>1.6E-2</v>
      </c>
      <c r="K29" s="3">
        <f>VLOOKUP($I29,Distances!$A$2:$D$9,3,0)</f>
        <v>0</v>
      </c>
      <c r="L29" s="3">
        <f>VLOOKUP($I29,Distances!$A$2:$D$9,4,0)</f>
        <v>2.7240000000000002</v>
      </c>
      <c r="M29" s="3">
        <f t="shared" si="0"/>
        <v>3.8975101931629372</v>
      </c>
      <c r="N29" s="3">
        <f t="shared" si="1"/>
        <v>7.4744610475812241</v>
      </c>
      <c r="O29" s="3">
        <f t="shared" si="2"/>
        <v>4.3329067610554466</v>
      </c>
      <c r="P29" s="3">
        <f t="shared" si="3"/>
        <v>3.1415542865257775</v>
      </c>
      <c r="Q29" s="5">
        <f t="shared" si="4"/>
        <v>0.7250454394177942</v>
      </c>
      <c r="R29" s="3">
        <f t="shared" si="5"/>
        <v>-19.074748100261683</v>
      </c>
      <c r="S29" s="3">
        <f t="shared" si="6"/>
        <v>4.3118877524188699</v>
      </c>
      <c r="T29" s="3">
        <f t="shared" si="7"/>
        <v>23.386635852680552</v>
      </c>
      <c r="U29" s="3">
        <f>VLOOKUP($A29,'Summary Data (40)'!$C$2:$N$249,11,0)</f>
        <v>0</v>
      </c>
      <c r="V29" s="3">
        <f>VLOOKUP($A29,'Summary Data (40)'!$C$2:$N$249,12,1)</f>
        <v>0</v>
      </c>
      <c r="W29" s="3">
        <f>VLOOKUP($A29,'Summary Data (40)'!$C$2:$N$249,11,1)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(40)'!$C$2:$L$249,3,0)</f>
        <v>Chair and Table</v>
      </c>
      <c r="C30" s="3">
        <f>VLOOKUP($B30,Distances!$A$2:$D$9,2,0)</f>
        <v>3.516</v>
      </c>
      <c r="D30" s="3">
        <f>VLOOKUP($B30,Distances!$A$2:$D$9,3,0)</f>
        <v>0</v>
      </c>
      <c r="E30" s="3">
        <f>VLOOKUP($B30,Distances!$A$2:$D$9,4,0)</f>
        <v>-4.3440000000000003</v>
      </c>
      <c r="F30" s="3">
        <f>VLOOKUP($A30,'Summary Data (40)'!$C$2:$L$249,5,1)</f>
        <v>-3.1506210000000001</v>
      </c>
      <c r="G30" s="3">
        <f>VLOOKUP($A30,'Summary Data (40)'!$C$2:$L$249,6,1)</f>
        <v>1.7229019999999999</v>
      </c>
      <c r="H30" s="3">
        <f>VLOOKUP($A30,'Summary Data (40)'!$C$2:$L$249,7,1)</f>
        <v>-0.49827189999999999</v>
      </c>
      <c r="I30" s="3" t="str">
        <f>VLOOKUP($A30,'Summary Data (40)'!$C$2:$L$249,4,0)</f>
        <v>Phonebooth</v>
      </c>
      <c r="J30" s="3">
        <f>VLOOKUP($I30,Distances!$A$2:$D$9,2,0)</f>
        <v>-0.85</v>
      </c>
      <c r="K30" s="3">
        <f>VLOOKUP($I30,Distances!$A$2:$D$9,3,0)</f>
        <v>0</v>
      </c>
      <c r="L30" s="3">
        <f>VLOOKUP($I30,Distances!$A$2:$D$9,4,0)</f>
        <v>-4.117</v>
      </c>
      <c r="M30" s="3">
        <f t="shared" si="0"/>
        <v>4.2881289681364079</v>
      </c>
      <c r="N30" s="3">
        <f t="shared" si="1"/>
        <v>7.6963277072101484</v>
      </c>
      <c r="O30" s="3">
        <f t="shared" si="2"/>
        <v>4.3718971854333439</v>
      </c>
      <c r="P30" s="3">
        <f t="shared" si="3"/>
        <v>3.3244305217768044</v>
      </c>
      <c r="Q30" s="5">
        <f t="shared" si="4"/>
        <v>0.76040912692398688</v>
      </c>
      <c r="R30" s="3">
        <f t="shared" si="5"/>
        <v>177.02371934116897</v>
      </c>
      <c r="S30" s="3">
        <f t="shared" si="6"/>
        <v>150.02093611063077</v>
      </c>
      <c r="T30" s="3">
        <f t="shared" si="7"/>
        <v>27.002783230538199</v>
      </c>
      <c r="U30" s="3">
        <f>VLOOKUP($A30,'Summary Data (40)'!$C$2:$N$249,11,0)</f>
        <v>0</v>
      </c>
      <c r="V30" s="3">
        <f>VLOOKUP($A30,'Summary Data (40)'!$C$2:$N$249,12,1)</f>
        <v>0</v>
      </c>
      <c r="W30" s="3">
        <f>VLOOKUP($A30,'Summary Data (40)'!$C$2:$N$249,11,1)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(40)'!$C$2:$L$249,3,0)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(40)'!$C$2:$L$249,5,1)</f>
        <v>-1.54687</v>
      </c>
      <c r="G31" s="3">
        <f>VLOOKUP($A31,'Summary Data (40)'!$C$2:$L$249,6,1)</f>
        <v>1.7142059999999999</v>
      </c>
      <c r="H31" s="3">
        <f>VLOOKUP($A31,'Summary Data (40)'!$C$2:$L$249,7,1)</f>
        <v>-4.4457269999999998</v>
      </c>
      <c r="I31" s="3" t="str">
        <f>VLOOKUP($A31,'Summary Data (40)'!$C$2:$L$249,4,0)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3.8942173913931666</v>
      </c>
      <c r="N31" s="3">
        <f t="shared" si="1"/>
        <v>5.209842110412656</v>
      </c>
      <c r="O31" s="3">
        <f t="shared" si="2"/>
        <v>1.5015515309172709</v>
      </c>
      <c r="P31" s="3">
        <f t="shared" si="3"/>
        <v>3.7082905794953849</v>
      </c>
      <c r="Q31" s="5">
        <f t="shared" si="4"/>
        <v>2.4696392385748203</v>
      </c>
      <c r="R31" s="3">
        <f t="shared" si="5"/>
        <v>-85.071579131103505</v>
      </c>
      <c r="S31" s="3">
        <f t="shared" si="6"/>
        <v>-60.52929808045451</v>
      </c>
      <c r="T31" s="3">
        <f t="shared" si="7"/>
        <v>24.542281050648995</v>
      </c>
      <c r="U31" s="3">
        <f>VLOOKUP($A31,'Summary Data (40)'!$C$2:$N$249,11,0)</f>
        <v>0</v>
      </c>
      <c r="V31" s="3">
        <f>VLOOKUP($A31,'Summary Data (40)'!$C$2:$N$249,12,1)</f>
        <v>0</v>
      </c>
      <c r="W31" s="3">
        <f>VLOOKUP($A31,'Summary Data (40)'!$C$2:$N$249,11,1)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(40)'!$C$2:$L$249,3,0)</f>
        <v>Snowman</v>
      </c>
      <c r="C32" s="3">
        <f>VLOOKUP($B32,Distances!$A$2:$D$9,2,0)</f>
        <v>3.9180000000000001</v>
      </c>
      <c r="D32" s="3">
        <f>VLOOKUP($B32,Distances!$A$2:$D$9,3,0)</f>
        <v>0</v>
      </c>
      <c r="E32" s="3">
        <f>VLOOKUP($B32,Distances!$A$2:$D$9,4,0)</f>
        <v>-0.67300000000000004</v>
      </c>
      <c r="F32" s="3">
        <f>VLOOKUP($A32,'Summary Data (40)'!$C$2:$L$249,5,1)</f>
        <v>-6.8832180000000003</v>
      </c>
      <c r="G32" s="3">
        <f>VLOOKUP($A32,'Summary Data (40)'!$C$2:$L$249,6,1)</f>
        <v>1.717066</v>
      </c>
      <c r="H32" s="3">
        <f>VLOOKUP($A32,'Summary Data (40)'!$C$2:$L$249,7,1)</f>
        <v>0.83083899999999999</v>
      </c>
      <c r="I32" s="3" t="str">
        <f>VLOOKUP($A32,'Summary Data (40)'!$C$2:$L$249,4,0)</f>
        <v>Car</v>
      </c>
      <c r="J32" s="3">
        <f>VLOOKUP($I32,Distances!$A$2:$D$9,2,0)</f>
        <v>-4.1100000000000003</v>
      </c>
      <c r="K32" s="3">
        <f>VLOOKUP($I32,Distances!$A$2:$D$9,3,0)</f>
        <v>0</v>
      </c>
      <c r="L32" s="3">
        <f>VLOOKUP($I32,Distances!$A$2:$D$9,4,0)</f>
        <v>0.09</v>
      </c>
      <c r="M32" s="3">
        <f t="shared" si="0"/>
        <v>2.8704669479798928</v>
      </c>
      <c r="N32" s="3">
        <f t="shared" si="1"/>
        <v>10.905404257589216</v>
      </c>
      <c r="O32" s="3">
        <f t="shared" si="2"/>
        <v>8.0641771433916301</v>
      </c>
      <c r="P32" s="3">
        <f t="shared" si="3"/>
        <v>2.8412271141975864</v>
      </c>
      <c r="Q32" s="5">
        <f t="shared" si="4"/>
        <v>0.35232697194975354</v>
      </c>
      <c r="R32" s="3">
        <f t="shared" si="5"/>
        <v>174.57078263739461</v>
      </c>
      <c r="S32" s="3">
        <f t="shared" si="6"/>
        <v>172.07373971852621</v>
      </c>
      <c r="T32" s="3">
        <f t="shared" si="7"/>
        <v>2.4970429188684022</v>
      </c>
      <c r="U32" s="3">
        <f>VLOOKUP($A32,'Summary Data (40)'!$C$2:$N$249,11,0)</f>
        <v>0</v>
      </c>
      <c r="V32" s="3">
        <f>VLOOKUP($A32,'Summary Data (40)'!$C$2:$N$249,12,1)</f>
        <v>0</v>
      </c>
      <c r="W32" s="3">
        <f>VLOOKUP($A32,'Summary Data (40)'!$C$2:$N$249,11,1)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(40)'!$C$2:$L$249,3,0)</f>
        <v>Treasure Chest</v>
      </c>
      <c r="C33" s="3">
        <f>VLOOKUP($B33,Distances!$A$2:$D$9,2,0)</f>
        <v>1.6E-2</v>
      </c>
      <c r="D33" s="3">
        <f>VLOOKUP($B33,Distances!$A$2:$D$9,3,0)</f>
        <v>0</v>
      </c>
      <c r="E33" s="3">
        <f>VLOOKUP($B33,Distances!$A$2:$D$9,4,0)</f>
        <v>2.7240000000000002</v>
      </c>
      <c r="F33" s="3">
        <f>VLOOKUP($A33,'Summary Data (40)'!$C$2:$L$249,5,1)</f>
        <v>0.67669009999999996</v>
      </c>
      <c r="G33" s="3">
        <f>VLOOKUP($A33,'Summary Data (40)'!$C$2:$L$249,6,1)</f>
        <v>1.7156899999999999</v>
      </c>
      <c r="H33" s="3">
        <f>VLOOKUP($A33,'Summary Data (40)'!$C$2:$L$249,7,1)</f>
        <v>-3.699627</v>
      </c>
      <c r="I33" s="3" t="str">
        <f>VLOOKUP($A33,'Summary Data (40)'!$C$2:$L$249,4,0)</f>
        <v>Chair and Table</v>
      </c>
      <c r="J33" s="3">
        <f>VLOOKUP($I33,Distances!$A$2:$D$9,2,0)</f>
        <v>3.516</v>
      </c>
      <c r="K33" s="3">
        <f>VLOOKUP($I33,Distances!$A$2:$D$9,3,0)</f>
        <v>0</v>
      </c>
      <c r="L33" s="3">
        <f>VLOOKUP($I33,Distances!$A$2:$D$9,4,0)</f>
        <v>-4.3440000000000003</v>
      </c>
      <c r="M33" s="3">
        <f t="shared" si="0"/>
        <v>2.9115111662789497</v>
      </c>
      <c r="N33" s="3">
        <f t="shared" si="1"/>
        <v>6.4575146336161726</v>
      </c>
      <c r="O33" s="3">
        <f t="shared" si="2"/>
        <v>7.8871175977032326</v>
      </c>
      <c r="P33" s="3">
        <f t="shared" si="3"/>
        <v>-1.42960296408706</v>
      </c>
      <c r="Q33" s="5">
        <f t="shared" si="4"/>
        <v>-0.18125797496709919</v>
      </c>
      <c r="R33" s="3">
        <f t="shared" si="5"/>
        <v>-63.65586590726528</v>
      </c>
      <c r="S33" s="3">
        <f t="shared" si="6"/>
        <v>-84.127599610476523</v>
      </c>
      <c r="T33" s="3">
        <f t="shared" si="7"/>
        <v>20.471733703211243</v>
      </c>
      <c r="U33" s="3">
        <f>VLOOKUP($A33,'Summary Data (40)'!$C$2:$N$249,11,0)</f>
        <v>0</v>
      </c>
      <c r="V33" s="3">
        <f>VLOOKUP($A33,'Summary Data (40)'!$C$2:$N$249,12,1)</f>
        <v>0</v>
      </c>
      <c r="W33" s="3">
        <f>VLOOKUP($A33,'Summary Data (40)'!$C$2:$N$249,11,1)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(40)'!$C$2:$L$249,3,0)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(40)'!$C$2:$L$249,5,1)</f>
        <v>1.7463519999999999</v>
      </c>
      <c r="G34" s="3">
        <f>VLOOKUP($A34,'Summary Data (40)'!$C$2:$L$249,6,1)</f>
        <v>1.7173160000000001</v>
      </c>
      <c r="H34" s="3">
        <f>VLOOKUP($A34,'Summary Data (40)'!$C$2:$L$249,7,1)</f>
        <v>3.8532850000000001</v>
      </c>
      <c r="I34" s="3" t="str">
        <f>VLOOKUP($A34,'Summary Data (40)'!$C$2:$L$249,4,0)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2.6062310559750843</v>
      </c>
      <c r="N34" s="3">
        <f t="shared" si="1"/>
        <v>7.7757726074730993</v>
      </c>
      <c r="O34" s="3">
        <f t="shared" si="2"/>
        <v>8.0292617967033557</v>
      </c>
      <c r="P34" s="3">
        <f t="shared" si="3"/>
        <v>-0.25348918923025643</v>
      </c>
      <c r="Q34" s="5">
        <f t="shared" si="4"/>
        <v>-3.1570671831168053E-2</v>
      </c>
      <c r="R34" s="3">
        <f t="shared" si="5"/>
        <v>23.666151625811782</v>
      </c>
      <c r="S34" s="3">
        <f t="shared" si="6"/>
        <v>42.560485901348301</v>
      </c>
      <c r="T34" s="3">
        <f t="shared" si="7"/>
        <v>18.894334275536519</v>
      </c>
      <c r="U34" s="3">
        <f>VLOOKUP($A34,'Summary Data (40)'!$C$2:$N$249,11,0)</f>
        <v>0</v>
      </c>
      <c r="V34" s="3">
        <f>VLOOKUP($A34,'Summary Data (40)'!$C$2:$N$249,12,1)</f>
        <v>0</v>
      </c>
      <c r="W34" s="3">
        <f>VLOOKUP($A34,'Summary Data (40)'!$C$2:$N$249,11,1)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(40)'!$C$2:$L$249,3,0)</f>
        <v>Snowman</v>
      </c>
      <c r="C35" s="3">
        <f>VLOOKUP($B35,Distances!$A$2:$D$9,2,0)</f>
        <v>3.9180000000000001</v>
      </c>
      <c r="D35" s="3">
        <f>VLOOKUP($B35,Distances!$A$2:$D$9,3,0)</f>
        <v>0</v>
      </c>
      <c r="E35" s="3">
        <f>VLOOKUP($B35,Distances!$A$2:$D$9,4,0)</f>
        <v>-0.67300000000000004</v>
      </c>
      <c r="F35" s="3">
        <f>VLOOKUP($A35,'Summary Data (40)'!$C$2:$L$249,5,1)</f>
        <v>-6.6302510000000003</v>
      </c>
      <c r="G35" s="3">
        <f>VLOOKUP($A35,'Summary Data (40)'!$C$2:$L$249,6,1)</f>
        <v>1.718545</v>
      </c>
      <c r="H35" s="3">
        <f>VLOOKUP($A35,'Summary Data (40)'!$C$2:$L$249,7,1)</f>
        <v>3.531034</v>
      </c>
      <c r="I35" s="3" t="str">
        <f>VLOOKUP($A35,'Summary Data (40)'!$C$2:$L$249,4,0)</f>
        <v>Car</v>
      </c>
      <c r="J35" s="3">
        <f>VLOOKUP($I35,Distances!$A$2:$D$9,2,0)</f>
        <v>-4.1100000000000003</v>
      </c>
      <c r="K35" s="3">
        <f>VLOOKUP($I35,Distances!$A$2:$D$9,3,0)</f>
        <v>0</v>
      </c>
      <c r="L35" s="3">
        <f>VLOOKUP($I35,Distances!$A$2:$D$9,4,0)</f>
        <v>0.09</v>
      </c>
      <c r="M35" s="3">
        <f t="shared" si="0"/>
        <v>4.2652526410702807</v>
      </c>
      <c r="N35" s="3">
        <f t="shared" si="1"/>
        <v>11.355153060710235</v>
      </c>
      <c r="O35" s="3">
        <f t="shared" si="2"/>
        <v>8.0641771433916301</v>
      </c>
      <c r="P35" s="3">
        <f t="shared" si="3"/>
        <v>3.2909759173186046</v>
      </c>
      <c r="Q35" s="5">
        <f t="shared" si="4"/>
        <v>0.40809816783544595</v>
      </c>
      <c r="R35" s="3">
        <f t="shared" si="5"/>
        <v>174.57078263739461</v>
      </c>
      <c r="S35" s="3">
        <f t="shared" si="6"/>
        <v>158.27011214227133</v>
      </c>
      <c r="T35" s="3">
        <f t="shared" si="7"/>
        <v>16.300670495123285</v>
      </c>
      <c r="U35" s="3">
        <f>VLOOKUP($A35,'Summary Data (40)'!$C$2:$N$249,11,0)</f>
        <v>0</v>
      </c>
      <c r="V35" s="3">
        <f>VLOOKUP($A35,'Summary Data (40)'!$C$2:$N$249,12,1)</f>
        <v>0</v>
      </c>
      <c r="W35" s="3">
        <f>VLOOKUP($A35,'Summary Data (40)'!$C$2:$N$249,11,1)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(40)'!$C$2:$L$249,3,0)</f>
        <v>Guitar</v>
      </c>
      <c r="C36" s="3">
        <f>VLOOKUP($B36,Distances!$A$2:$D$9,2,0)</f>
        <v>3.3730000000000002</v>
      </c>
      <c r="D36" s="3">
        <f>VLOOKUP($B36,Distances!$A$2:$D$9,3,0)</f>
        <v>0</v>
      </c>
      <c r="E36" s="3">
        <f>VLOOKUP($B36,Distances!$A$2:$D$9,4,0)</f>
        <v>1.8169999999999999</v>
      </c>
      <c r="F36" s="3">
        <f>VLOOKUP($A36,'Summary Data (40)'!$C$2:$L$249,5,1)</f>
        <v>-0.21893760000000001</v>
      </c>
      <c r="G36" s="3">
        <f>VLOOKUP($A36,'Summary Data (40)'!$C$2:$L$249,6,1)</f>
        <v>1.710739</v>
      </c>
      <c r="H36" s="3">
        <f>VLOOKUP($A36,'Summary Data (40)'!$C$2:$L$249,7,1)</f>
        <v>-0.59523329999999997</v>
      </c>
      <c r="I36" s="3" t="str">
        <f>VLOOKUP($A36,'Summary Data (40)'!$C$2:$L$249,4,0)</f>
        <v>Snowman</v>
      </c>
      <c r="J36" s="3">
        <f>VLOOKUP($I36,Distances!$A$2:$D$9,2,0)</f>
        <v>3.9180000000000001</v>
      </c>
      <c r="K36" s="3">
        <f>VLOOKUP($I36,Distances!$A$2:$D$9,3,0)</f>
        <v>0</v>
      </c>
      <c r="L36" s="3">
        <f>VLOOKUP($I36,Distances!$A$2:$D$9,4,0)</f>
        <v>-0.67300000000000004</v>
      </c>
      <c r="M36" s="3">
        <f t="shared" si="0"/>
        <v>4.1376684697934243</v>
      </c>
      <c r="N36" s="3">
        <f t="shared" si="1"/>
        <v>4.3267638271487217</v>
      </c>
      <c r="O36" s="3">
        <f t="shared" si="2"/>
        <v>2.5489458605470614</v>
      </c>
      <c r="P36" s="3">
        <f t="shared" si="3"/>
        <v>1.7778179666016602</v>
      </c>
      <c r="Q36" s="5">
        <f t="shared" si="4"/>
        <v>0.69747184281901553</v>
      </c>
      <c r="R36" s="3">
        <f t="shared" si="5"/>
        <v>-77.654050540796021</v>
      </c>
      <c r="S36" s="3">
        <f t="shared" si="6"/>
        <v>-146.1159217951855</v>
      </c>
      <c r="T36" s="3">
        <f t="shared" si="7"/>
        <v>68.461871254389479</v>
      </c>
      <c r="U36" s="3">
        <f>VLOOKUP($A36,'Summary Data (40)'!$C$2:$N$249,11,0)</f>
        <v>0</v>
      </c>
      <c r="V36" s="3">
        <f>VLOOKUP($A36,'Summary Data (40)'!$C$2:$N$249,12,1)</f>
        <v>0</v>
      </c>
      <c r="W36" s="3">
        <f>VLOOKUP($A36,'Summary Data (40)'!$C$2:$N$249,11,1)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(40)'!$C$2:$L$249,3,0)</f>
        <v>Clock</v>
      </c>
      <c r="C37" s="3">
        <f>VLOOKUP($B37,Distances!$A$2:$D$9,2,0)</f>
        <v>-4.0789999999999997</v>
      </c>
      <c r="D37" s="3">
        <f>VLOOKUP($B37,Distances!$A$2:$D$9,3,0)</f>
        <v>0</v>
      </c>
      <c r="E37" s="3">
        <f>VLOOKUP($B37,Distances!$A$2:$D$9,4,0)</f>
        <v>4.1399999999999997</v>
      </c>
      <c r="F37" s="3">
        <f>VLOOKUP($A37,'Summary Data (40)'!$C$2:$L$249,5,1)</f>
        <v>-1.304786</v>
      </c>
      <c r="G37" s="3">
        <f>VLOOKUP($A37,'Summary Data (40)'!$C$2:$L$249,6,1)</f>
        <v>1.7173119999999999</v>
      </c>
      <c r="H37" s="3">
        <f>VLOOKUP($A37,'Summary Data (40)'!$C$2:$L$249,7,1)</f>
        <v>5.560924</v>
      </c>
      <c r="I37" s="3" t="str">
        <f>VLOOKUP($A37,'Summary Data (40)'!$C$2:$L$249,4,0)</f>
        <v>Treasure Chest</v>
      </c>
      <c r="J37" s="3">
        <f>VLOOKUP($I37,Distances!$A$2:$D$9,2,0)</f>
        <v>1.6E-2</v>
      </c>
      <c r="K37" s="3">
        <f>VLOOKUP($I37,Distances!$A$2:$D$9,3,0)</f>
        <v>0</v>
      </c>
      <c r="L37" s="3">
        <f>VLOOKUP($I37,Distances!$A$2:$D$9,4,0)</f>
        <v>2.7240000000000002</v>
      </c>
      <c r="M37" s="3">
        <f t="shared" si="0"/>
        <v>3.1293151710193716</v>
      </c>
      <c r="N37" s="3">
        <f t="shared" si="1"/>
        <v>3.1169357278538805</v>
      </c>
      <c r="O37" s="3">
        <f t="shared" si="2"/>
        <v>4.3329067610554466</v>
      </c>
      <c r="P37" s="3">
        <f t="shared" si="3"/>
        <v>-1.2159710332015661</v>
      </c>
      <c r="Q37" s="5">
        <f t="shared" si="4"/>
        <v>-0.28063632574114505</v>
      </c>
      <c r="R37" s="3">
        <f t="shared" si="5"/>
        <v>-19.074748100261683</v>
      </c>
      <c r="S37" s="3">
        <f t="shared" si="6"/>
        <v>27.121059986584225</v>
      </c>
      <c r="T37" s="3">
        <f t="shared" si="7"/>
        <v>46.195808086845908</v>
      </c>
      <c r="U37" s="3">
        <f>VLOOKUP($A37,'Summary Data (40)'!$C$2:$N$249,11,0)</f>
        <v>0</v>
      </c>
      <c r="V37" s="3">
        <f>VLOOKUP($A37,'Summary Data (40)'!$C$2:$N$249,12,1)</f>
        <v>0</v>
      </c>
      <c r="W37" s="3">
        <f>VLOOKUP($A37,'Summary Data (40)'!$C$2:$N$249,11,1)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(40)'!$C$2:$L$249,3,0)</f>
        <v>Well</v>
      </c>
      <c r="C38" s="3">
        <f>VLOOKUP($B38,Distances!$A$2:$D$9,2,0)</f>
        <v>-3.9809999999999999</v>
      </c>
      <c r="D38" s="3">
        <f>VLOOKUP($B38,Distances!$A$2:$D$9,3,0)</f>
        <v>0</v>
      </c>
      <c r="E38" s="3">
        <f>VLOOKUP($B38,Distances!$A$2:$D$9,4,0)</f>
        <v>-1.4059999999999999</v>
      </c>
      <c r="F38" s="3">
        <f>VLOOKUP($A38,'Summary Data (40)'!$C$2:$L$249,5,1)</f>
        <v>1.3536319999999999</v>
      </c>
      <c r="G38" s="3">
        <f>VLOOKUP($A38,'Summary Data (40)'!$C$2:$L$249,6,1)</f>
        <v>1.720491</v>
      </c>
      <c r="H38" s="3">
        <f>VLOOKUP($A38,'Summary Data (40)'!$C$2:$L$249,7,1)</f>
        <v>5.0153489999999996</v>
      </c>
      <c r="I38" s="3" t="str">
        <f>VLOOKUP($A38,'Summary Data (40)'!$C$2:$L$249,4,0)</f>
        <v>Guitar</v>
      </c>
      <c r="J38" s="3">
        <f>VLOOKUP($I38,Distances!$A$2:$D$9,2,0)</f>
        <v>3.3730000000000002</v>
      </c>
      <c r="K38" s="3">
        <f>VLOOKUP($I38,Distances!$A$2:$D$9,3,0)</f>
        <v>0</v>
      </c>
      <c r="L38" s="3">
        <f>VLOOKUP($I38,Distances!$A$2:$D$9,4,0)</f>
        <v>1.8169999999999999</v>
      </c>
      <c r="M38" s="3">
        <f t="shared" si="0"/>
        <v>3.7824969854878927</v>
      </c>
      <c r="N38" s="3">
        <f t="shared" si="1"/>
        <v>8.3481747439320522</v>
      </c>
      <c r="O38" s="3">
        <f t="shared" si="2"/>
        <v>8.0292617967033557</v>
      </c>
      <c r="P38" s="3">
        <f t="shared" si="3"/>
        <v>0.31891294722869645</v>
      </c>
      <c r="Q38" s="5">
        <f t="shared" si="4"/>
        <v>3.9718837833838637E-2</v>
      </c>
      <c r="R38" s="3">
        <f t="shared" si="5"/>
        <v>23.666151625811782</v>
      </c>
      <c r="S38" s="3">
        <f t="shared" si="6"/>
        <v>50.281384059199951</v>
      </c>
      <c r="T38" s="3">
        <f t="shared" si="7"/>
        <v>26.615232433388169</v>
      </c>
      <c r="U38" s="3">
        <f>VLOOKUP($A38,'Summary Data (40)'!$C$2:$N$249,11,0)</f>
        <v>0</v>
      </c>
      <c r="V38" s="3">
        <f>VLOOKUP($A38,'Summary Data (40)'!$C$2:$N$249,12,1)</f>
        <v>0</v>
      </c>
      <c r="W38" s="3">
        <f>VLOOKUP($A38,'Summary Data (40)'!$C$2:$N$249,11,1)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(40)'!$C$2:$L$249,3,0)</f>
        <v>Snowman</v>
      </c>
      <c r="C39" s="3">
        <f>VLOOKUP($B39,Distances!$A$2:$D$9,2,0)</f>
        <v>3.9180000000000001</v>
      </c>
      <c r="D39" s="3">
        <f>VLOOKUP($B39,Distances!$A$2:$D$9,3,0)</f>
        <v>0</v>
      </c>
      <c r="E39" s="3">
        <f>VLOOKUP($B39,Distances!$A$2:$D$9,4,0)</f>
        <v>-0.67300000000000004</v>
      </c>
      <c r="F39" s="3">
        <f>VLOOKUP($A39,'Summary Data (40)'!$C$2:$L$249,5,1)</f>
        <v>-7.2266139999999996</v>
      </c>
      <c r="G39" s="3">
        <f>VLOOKUP($A39,'Summary Data (40)'!$C$2:$L$249,6,1)</f>
        <v>1.720083</v>
      </c>
      <c r="H39" s="3">
        <f>VLOOKUP($A39,'Summary Data (40)'!$C$2:$L$249,7,1)</f>
        <v>3.081944</v>
      </c>
      <c r="I39" s="3" t="str">
        <f>VLOOKUP($A39,'Summary Data (40)'!$C$2:$L$249,4,0)</f>
        <v>Car</v>
      </c>
      <c r="J39" s="3">
        <f>VLOOKUP($I39,Distances!$A$2:$D$9,2,0)</f>
        <v>-4.1100000000000003</v>
      </c>
      <c r="K39" s="3">
        <f>VLOOKUP($I39,Distances!$A$2:$D$9,3,0)</f>
        <v>0</v>
      </c>
      <c r="L39" s="3">
        <f>VLOOKUP($I39,Distances!$A$2:$D$9,4,0)</f>
        <v>0.09</v>
      </c>
      <c r="M39" s="3">
        <f t="shared" si="0"/>
        <v>4.3203022723105837</v>
      </c>
      <c r="N39" s="3">
        <f t="shared" si="1"/>
        <v>11.76018816397646</v>
      </c>
      <c r="O39" s="3">
        <f t="shared" si="2"/>
        <v>8.0641771433916301</v>
      </c>
      <c r="P39" s="3">
        <f t="shared" si="3"/>
        <v>3.6960110205848302</v>
      </c>
      <c r="Q39" s="5">
        <f t="shared" si="4"/>
        <v>0.4583246318706688</v>
      </c>
      <c r="R39" s="3">
        <f t="shared" si="5"/>
        <v>174.57078263739461</v>
      </c>
      <c r="S39" s="3">
        <f t="shared" si="6"/>
        <v>161.37983512757904</v>
      </c>
      <c r="T39" s="3">
        <f t="shared" si="7"/>
        <v>13.190947509815572</v>
      </c>
      <c r="U39" s="3">
        <f>VLOOKUP($A39,'Summary Data (40)'!$C$2:$N$249,11,0)</f>
        <v>0</v>
      </c>
      <c r="V39" s="3">
        <f>VLOOKUP($A39,'Summary Data (40)'!$C$2:$N$249,12,1)</f>
        <v>0</v>
      </c>
      <c r="W39" s="3">
        <f>VLOOKUP($A39,'Summary Data (40)'!$C$2:$N$249,11,1)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(40)'!$C$2:$L$249,3,0)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(40)'!$C$2:$L$249,5,1)</f>
        <v>0.65766170000000002</v>
      </c>
      <c r="G40" s="3">
        <f>VLOOKUP($A40,'Summary Data (40)'!$C$2:$L$249,6,1)</f>
        <v>1.7283310000000001</v>
      </c>
      <c r="H40" s="3">
        <f>VLOOKUP($A40,'Summary Data (40)'!$C$2:$L$249,7,1)</f>
        <v>-3.0556489999999998</v>
      </c>
      <c r="I40" s="3" t="str">
        <f>VLOOKUP($A40,'Summary Data (40)'!$C$2:$L$249,4,0)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3.135274491403885</v>
      </c>
      <c r="N40" s="3">
        <f t="shared" si="1"/>
        <v>5.8151588370781315</v>
      </c>
      <c r="O40" s="3">
        <f t="shared" si="2"/>
        <v>7.8871175977032326</v>
      </c>
      <c r="P40" s="3">
        <f t="shared" si="3"/>
        <v>-2.0719587606251011</v>
      </c>
      <c r="Q40" s="5">
        <f t="shared" si="4"/>
        <v>-0.26270164416319414</v>
      </c>
      <c r="R40" s="3">
        <f t="shared" si="5"/>
        <v>-63.65586590726528</v>
      </c>
      <c r="S40" s="3">
        <f t="shared" si="6"/>
        <v>-83.66491529636815</v>
      </c>
      <c r="T40" s="3">
        <f t="shared" si="7"/>
        <v>20.00904938910287</v>
      </c>
      <c r="U40" s="3">
        <f>VLOOKUP($A40,'Summary Data (40)'!$C$2:$N$249,11,0)</f>
        <v>0</v>
      </c>
      <c r="V40" s="3">
        <f>VLOOKUP($A40,'Summary Data (40)'!$C$2:$N$249,12,1)</f>
        <v>0</v>
      </c>
      <c r="W40" s="3">
        <f>VLOOKUP($A40,'Summary Data (40)'!$C$2:$N$249,11,1)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(40)'!$C$2:$L$249,3,0)</f>
        <v>Phonebooth</v>
      </c>
      <c r="C41" s="3">
        <f>VLOOKUP($B41,Distances!$A$2:$D$9,2,0)</f>
        <v>-0.85</v>
      </c>
      <c r="D41" s="3">
        <f>VLOOKUP($B41,Distances!$A$2:$D$9,3,0)</f>
        <v>0</v>
      </c>
      <c r="E41" s="3">
        <f>VLOOKUP($B41,Distances!$A$2:$D$9,4,0)</f>
        <v>-4.117</v>
      </c>
      <c r="F41" s="3">
        <f>VLOOKUP($A41,'Summary Data (40)'!$C$2:$L$249,5,1)</f>
        <v>-5.4442550000000001</v>
      </c>
      <c r="G41" s="3">
        <f>VLOOKUP($A41,'Summary Data (40)'!$C$2:$L$249,6,1)</f>
        <v>1.710961</v>
      </c>
      <c r="H41" s="3">
        <f>VLOOKUP($A41,'Summary Data (40)'!$C$2:$L$249,7,1)</f>
        <v>0.65974449999999996</v>
      </c>
      <c r="I41" s="3" t="str">
        <f>VLOOKUP($A41,'Summary Data (40)'!$C$2:$L$249,4,0)</f>
        <v>Clock</v>
      </c>
      <c r="J41" s="3">
        <f>VLOOKUP($I41,Distances!$A$2:$D$9,2,0)</f>
        <v>-4.0789999999999997</v>
      </c>
      <c r="K41" s="3">
        <f>VLOOKUP($I41,Distances!$A$2:$D$9,3,0)</f>
        <v>0</v>
      </c>
      <c r="L41" s="3">
        <f>VLOOKUP($I41,Distances!$A$2:$D$9,4,0)</f>
        <v>4.1399999999999997</v>
      </c>
      <c r="M41" s="3">
        <f t="shared" si="0"/>
        <v>3.7384621919052825</v>
      </c>
      <c r="N41" s="3">
        <f t="shared" si="1"/>
        <v>6.6275536228162837</v>
      </c>
      <c r="O41" s="3">
        <f t="shared" si="2"/>
        <v>8.8659173242253964</v>
      </c>
      <c r="P41" s="3">
        <f t="shared" si="3"/>
        <v>-2.2383637014091127</v>
      </c>
      <c r="Q41" s="5">
        <f t="shared" si="4"/>
        <v>-0.25246837067755712</v>
      </c>
      <c r="R41" s="3">
        <f t="shared" si="5"/>
        <v>111.35858600069317</v>
      </c>
      <c r="S41" s="3">
        <f t="shared" si="6"/>
        <v>133.88437122157958</v>
      </c>
      <c r="T41" s="3">
        <f t="shared" si="7"/>
        <v>22.525785220886419</v>
      </c>
      <c r="U41" s="3">
        <f>VLOOKUP($A41,'Summary Data (40)'!$C$2:$N$249,11,0)</f>
        <v>0</v>
      </c>
      <c r="V41" s="3">
        <f>VLOOKUP($A41,'Summary Data (40)'!$C$2:$N$249,12,1)</f>
        <v>0</v>
      </c>
      <c r="W41" s="3">
        <f>VLOOKUP($A41,'Summary Data (40)'!$C$2:$N$249,11,1)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0.52803382517598785</v>
      </c>
      <c r="T42" s="3">
        <f>AVERAGE(T2:T41)</f>
        <v>33.961656204914149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activeCell="B8" activeCellId="1" sqref="E2:E41 B8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2017-09-13T10:58:09Z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