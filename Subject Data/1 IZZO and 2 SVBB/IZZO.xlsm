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1 IZZO and 2 SVBB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C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E39" i="3" l="1"/>
  <c r="D36" i="3"/>
  <c r="E35" i="3"/>
  <c r="N35" i="3" s="1"/>
  <c r="D4" i="3"/>
  <c r="C13" i="3"/>
  <c r="N13" i="3" s="1"/>
  <c r="J18" i="3"/>
  <c r="C12" i="3"/>
  <c r="D13" i="3"/>
  <c r="C39" i="3"/>
  <c r="L40" i="3"/>
  <c r="D3" i="3"/>
  <c r="L7" i="3"/>
  <c r="L9" i="3"/>
  <c r="E12" i="3"/>
  <c r="C22" i="3"/>
  <c r="C28" i="3"/>
  <c r="S28" i="3" s="1"/>
  <c r="J29" i="3"/>
  <c r="J5" i="3"/>
  <c r="M5" i="3" s="1"/>
  <c r="E22" i="3"/>
  <c r="L25" i="3"/>
  <c r="E28" i="3"/>
  <c r="K29" i="3"/>
  <c r="D35" i="3"/>
  <c r="C36" i="3"/>
  <c r="L3" i="3"/>
  <c r="K17" i="3"/>
  <c r="C40" i="3"/>
  <c r="N40" i="3" s="1"/>
  <c r="J4" i="3"/>
  <c r="C9" i="3"/>
  <c r="N9" i="3" s="1"/>
  <c r="L4" i="3"/>
  <c r="D8" i="3"/>
  <c r="D9" i="3"/>
  <c r="S13" i="3"/>
  <c r="J13" i="3"/>
  <c r="M13" i="3" s="1"/>
  <c r="J14" i="3"/>
  <c r="M14" i="3" s="1"/>
  <c r="E15" i="3"/>
  <c r="L16" i="3"/>
  <c r="L20" i="3"/>
  <c r="J25" i="3"/>
  <c r="C32" i="3"/>
  <c r="E33" i="3"/>
  <c r="J36" i="3"/>
  <c r="J40" i="3"/>
  <c r="D16" i="3"/>
  <c r="K21" i="3"/>
  <c r="J27" i="3"/>
  <c r="J7" i="3"/>
  <c r="J9" i="3"/>
  <c r="M9" i="3" s="1"/>
  <c r="K10" i="3"/>
  <c r="L13" i="3"/>
  <c r="K14" i="3"/>
  <c r="E19" i="3"/>
  <c r="K24" i="3"/>
  <c r="J31" i="3"/>
  <c r="E32" i="3"/>
  <c r="L36" i="3"/>
  <c r="K37" i="3"/>
  <c r="E2" i="3"/>
  <c r="E3" i="3"/>
  <c r="S3" i="3" s="1"/>
  <c r="J6" i="3"/>
  <c r="M6" i="3" s="1"/>
  <c r="E8" i="3"/>
  <c r="S8" i="3" s="1"/>
  <c r="L12" i="3"/>
  <c r="E16" i="3"/>
  <c r="N16" i="3" s="1"/>
  <c r="C17" i="3"/>
  <c r="L17" i="3"/>
  <c r="M17" i="3" s="1"/>
  <c r="C20" i="3"/>
  <c r="S20" i="3" s="1"/>
  <c r="L21" i="3"/>
  <c r="J23" i="3"/>
  <c r="C24" i="3"/>
  <c r="S24" i="3" s="1"/>
  <c r="C26" i="3"/>
  <c r="D27" i="3"/>
  <c r="N28" i="3"/>
  <c r="K28" i="3"/>
  <c r="C30" i="3"/>
  <c r="D31" i="3"/>
  <c r="K32" i="3"/>
  <c r="J33" i="3"/>
  <c r="M33" i="3" s="1"/>
  <c r="D40" i="3"/>
  <c r="J41" i="3"/>
  <c r="M41" i="3" s="1"/>
  <c r="S4" i="3"/>
  <c r="S9" i="3"/>
  <c r="K6" i="3"/>
  <c r="D17" i="3"/>
  <c r="D20" i="3"/>
  <c r="L23" i="3"/>
  <c r="D24" i="3"/>
  <c r="E26" i="3"/>
  <c r="E30" i="3"/>
  <c r="K33" i="3"/>
  <c r="K41" i="3"/>
  <c r="K5" i="3"/>
  <c r="J10" i="3"/>
  <c r="M10" i="3" s="1"/>
  <c r="E11" i="3"/>
  <c r="K18" i="3"/>
  <c r="L27" i="3"/>
  <c r="L31" i="3"/>
  <c r="J37" i="3"/>
  <c r="M37" i="3" s="1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D5" i="3"/>
  <c r="C6" i="3"/>
  <c r="D7" i="3"/>
  <c r="O9" i="3"/>
  <c r="C10" i="3"/>
  <c r="E10" i="3"/>
  <c r="D10" i="3"/>
  <c r="W13" i="3"/>
  <c r="V18" i="3"/>
  <c r="Y18" i="3" s="1"/>
  <c r="N20" i="3"/>
  <c r="L2" i="3"/>
  <c r="M2" i="3" s="1"/>
  <c r="E5" i="3"/>
  <c r="O5" i="3" s="1"/>
  <c r="E6" i="3"/>
  <c r="E7" i="3"/>
  <c r="N7" i="3" s="1"/>
  <c r="J11" i="3"/>
  <c r="L11" i="3"/>
  <c r="K11" i="3"/>
  <c r="C14" i="3"/>
  <c r="E14" i="3"/>
  <c r="D14" i="3"/>
  <c r="W17" i="3"/>
  <c r="U7" i="3"/>
  <c r="K8" i="3"/>
  <c r="J8" i="3"/>
  <c r="V10" i="3"/>
  <c r="Y10" i="3" s="1"/>
  <c r="J15" i="3"/>
  <c r="L15" i="3"/>
  <c r="K15" i="3"/>
  <c r="C18" i="3"/>
  <c r="E18" i="3"/>
  <c r="D18" i="3"/>
  <c r="M21" i="3"/>
  <c r="W22" i="3"/>
  <c r="V7" i="3"/>
  <c r="L8" i="3"/>
  <c r="W9" i="3"/>
  <c r="V14" i="3"/>
  <c r="Y14" i="3" s="1"/>
  <c r="M18" i="3"/>
  <c r="J19" i="3"/>
  <c r="L19" i="3"/>
  <c r="K19" i="3"/>
  <c r="L22" i="3"/>
  <c r="J22" i="3"/>
  <c r="K22" i="3"/>
  <c r="C11" i="3"/>
  <c r="J12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E25" i="3"/>
  <c r="D25" i="3"/>
  <c r="D29" i="3"/>
  <c r="K30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O33" i="3" s="1"/>
  <c r="D34" i="3"/>
  <c r="C34" i="3"/>
  <c r="N34" i="3" s="1"/>
  <c r="S35" i="3"/>
  <c r="E37" i="3"/>
  <c r="O37" i="3" s="1"/>
  <c r="D37" i="3"/>
  <c r="D38" i="3"/>
  <c r="C38" i="3"/>
  <c r="N38" i="3" s="1"/>
  <c r="S39" i="3"/>
  <c r="E41" i="3"/>
  <c r="D41" i="3"/>
  <c r="L34" i="3"/>
  <c r="K34" i="3"/>
  <c r="L38" i="3"/>
  <c r="K38" i="3"/>
  <c r="S34" i="3"/>
  <c r="J34" i="3"/>
  <c r="K35" i="3"/>
  <c r="J35" i="3"/>
  <c r="N36" i="3"/>
  <c r="J38" i="3"/>
  <c r="K39" i="3"/>
  <c r="J39" i="3"/>
  <c r="O13" i="3" l="1"/>
  <c r="P13" i="3" s="1"/>
  <c r="Q13" i="3" s="1"/>
  <c r="N5" i="3"/>
  <c r="M36" i="3"/>
  <c r="R4" i="3"/>
  <c r="T4" i="3" s="1"/>
  <c r="R36" i="3"/>
  <c r="M40" i="3"/>
  <c r="M25" i="3"/>
  <c r="S12" i="3"/>
  <c r="S18" i="3"/>
  <c r="M27" i="3"/>
  <c r="N30" i="3"/>
  <c r="M4" i="3"/>
  <c r="S22" i="3"/>
  <c r="S36" i="3"/>
  <c r="T36" i="3" s="1"/>
  <c r="S32" i="3"/>
  <c r="M7" i="3"/>
  <c r="S25" i="3"/>
  <c r="S16" i="3"/>
  <c r="O10" i="3"/>
  <c r="S40" i="3"/>
  <c r="N22" i="3"/>
  <c r="N12" i="3"/>
  <c r="N3" i="3"/>
  <c r="M23" i="3"/>
  <c r="O17" i="3"/>
  <c r="N32" i="3"/>
  <c r="R40" i="3"/>
  <c r="O40" i="3"/>
  <c r="P40" i="3" s="1"/>
  <c r="Q40" i="3" s="1"/>
  <c r="O27" i="3"/>
  <c r="N11" i="3"/>
  <c r="N17" i="3"/>
  <c r="O36" i="3"/>
  <c r="P36" i="3" s="1"/>
  <c r="Q36" i="3" s="1"/>
  <c r="R13" i="3"/>
  <c r="T13" i="3" s="1"/>
  <c r="O4" i="3"/>
  <c r="N15" i="3"/>
  <c r="N8" i="3"/>
  <c r="P9" i="3"/>
  <c r="Q9" i="3" s="1"/>
  <c r="O7" i="3"/>
  <c r="N14" i="3"/>
  <c r="S38" i="3"/>
  <c r="O18" i="3"/>
  <c r="R9" i="3"/>
  <c r="T9" i="3" s="1"/>
  <c r="S6" i="3"/>
  <c r="T6" i="3" s="1"/>
  <c r="O41" i="3"/>
  <c r="S31" i="3"/>
  <c r="S10" i="3"/>
  <c r="M31" i="3"/>
  <c r="S17" i="3"/>
  <c r="S30" i="3"/>
  <c r="S26" i="3"/>
  <c r="R17" i="3"/>
  <c r="P7" i="3"/>
  <c r="Q7" i="3" s="1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S7" i="3"/>
  <c r="O23" i="3"/>
  <c r="N6" i="3"/>
  <c r="S2" i="3"/>
  <c r="N26" i="3"/>
  <c r="S14" i="3"/>
  <c r="R5" i="3"/>
  <c r="R6" i="3"/>
  <c r="O39" i="3"/>
  <c r="P39" i="3" s="1"/>
  <c r="Q39" i="3" s="1"/>
  <c r="R39" i="3"/>
  <c r="T39" i="3" s="1"/>
  <c r="M39" i="3"/>
  <c r="O32" i="3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R19" i="3"/>
  <c r="O19" i="3"/>
  <c r="P19" i="3" s="1"/>
  <c r="Q19" i="3" s="1"/>
  <c r="M19" i="3"/>
  <c r="O25" i="3"/>
  <c r="Z22" i="3"/>
  <c r="X22" i="3"/>
  <c r="R11" i="3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N2" i="3"/>
  <c r="O2" i="3"/>
  <c r="R7" i="3"/>
  <c r="O34" i="3"/>
  <c r="P34" i="3" s="1"/>
  <c r="Q34" i="3" s="1"/>
  <c r="R34" i="3"/>
  <c r="T34" i="3" s="1"/>
  <c r="M34" i="3"/>
  <c r="R24" i="3"/>
  <c r="T24" i="3" s="1"/>
  <c r="M24" i="3"/>
  <c r="O24" i="3"/>
  <c r="S41" i="3"/>
  <c r="R41" i="3"/>
  <c r="O29" i="3"/>
  <c r="R26" i="3"/>
  <c r="T26" i="3" s="1"/>
  <c r="O26" i="3"/>
  <c r="M26" i="3"/>
  <c r="N25" i="3"/>
  <c r="R21" i="3"/>
  <c r="T21" i="3" s="1"/>
  <c r="O8" i="3"/>
  <c r="R8" i="3"/>
  <c r="T8" i="3" s="1"/>
  <c r="M8" i="3"/>
  <c r="X13" i="3"/>
  <c r="Z13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T10" i="3" s="1"/>
  <c r="N18" i="3"/>
  <c r="R25" i="3"/>
  <c r="O38" i="3"/>
  <c r="P38" i="3" s="1"/>
  <c r="Q38" i="3" s="1"/>
  <c r="R38" i="3"/>
  <c r="T38" i="3" s="1"/>
  <c r="M38" i="3"/>
  <c r="N29" i="3"/>
  <c r="O28" i="3"/>
  <c r="P28" i="3" s="1"/>
  <c r="Q28" i="3" s="1"/>
  <c r="R28" i="3"/>
  <c r="T28" i="3" s="1"/>
  <c r="M28" i="3"/>
  <c r="R31" i="3"/>
  <c r="T31" i="3" s="1"/>
  <c r="R27" i="3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R23" i="3"/>
  <c r="T23" i="3" s="1"/>
  <c r="Y7" i="3"/>
  <c r="N21" i="3"/>
  <c r="R15" i="3"/>
  <c r="O15" i="3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R2" i="3"/>
  <c r="R14" i="3"/>
  <c r="O35" i="3"/>
  <c r="P35" i="3" s="1"/>
  <c r="Q35" i="3" s="1"/>
  <c r="R35" i="3"/>
  <c r="T35" i="3" s="1"/>
  <c r="M35" i="3"/>
  <c r="P32" i="3"/>
  <c r="Q32" i="3" s="1"/>
  <c r="S37" i="3"/>
  <c r="N27" i="3"/>
  <c r="N37" i="3"/>
  <c r="P37" i="3" s="1"/>
  <c r="Q37" i="3" s="1"/>
  <c r="R33" i="3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P15" i="3" l="1"/>
  <c r="Q15" i="3" s="1"/>
  <c r="T18" i="3"/>
  <c r="P17" i="3"/>
  <c r="Q17" i="3" s="1"/>
  <c r="P27" i="3"/>
  <c r="Q27" i="3" s="1"/>
  <c r="P6" i="3"/>
  <c r="Q6" i="3" s="1"/>
  <c r="P18" i="3"/>
  <c r="Q18" i="3" s="1"/>
  <c r="T11" i="3"/>
  <c r="P25" i="3"/>
  <c r="Q25" i="3" s="1"/>
  <c r="T5" i="3"/>
  <c r="T33" i="3"/>
  <c r="T12" i="3"/>
  <c r="T27" i="3"/>
  <c r="T40" i="3"/>
  <c r="T25" i="3"/>
  <c r="P22" i="3"/>
  <c r="Q22" i="3" s="1"/>
  <c r="P8" i="3"/>
  <c r="Q8" i="3" s="1"/>
  <c r="T7" i="3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l="1"/>
  <c r="T42" i="3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<sst xmlns="http://schemas.openxmlformats.org/spreadsheetml/2006/main" count="394" uniqueCount="37">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</sst>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topLeftCell="A103" zoomScaleNormal="100" workbookViewId="0">
      <selection activeCell="D126" sqref="D126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42956.511724537035</v>
      </c>
      <c r="B2">
        <v>1321.81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1.7404869999999999</v>
      </c>
      <c r="I2">
        <v>-4.117</v>
      </c>
      <c r="J2">
        <v>5.8444520000000004</v>
      </c>
      <c r="K2">
        <v>221.43610000000001</v>
      </c>
      <c r="L2">
        <v>356.44779999999997</v>
      </c>
    </row>
    <row r="3" spans="1:12" x14ac:dyDescent="0.2">
      <c r="A3" s="1">
        <v>42956.512118055558</v>
      </c>
      <c r="B3">
        <v>1355.297</v>
      </c>
      <c r="C3">
        <v>0</v>
      </c>
      <c r="D3" t="s">
        <v>35</v>
      </c>
      <c r="E3" t="s">
        <v>0</v>
      </c>
      <c r="F3" t="s">
        <v>1</v>
      </c>
      <c r="G3">
        <v>-0.92227879999999995</v>
      </c>
      <c r="H3">
        <v>1.7359059999999999</v>
      </c>
      <c r="I3">
        <v>-4.2516119999999997</v>
      </c>
      <c r="J3">
        <v>7.0360670000000001</v>
      </c>
      <c r="K3">
        <v>181.75489999999999</v>
      </c>
      <c r="L3">
        <v>359.29090000000002</v>
      </c>
    </row>
    <row r="4" spans="1:12" x14ac:dyDescent="0.2">
      <c r="A4" s="1">
        <v>42956.512766203705</v>
      </c>
      <c r="B4">
        <v>1411.329</v>
      </c>
      <c r="C4">
        <v>0</v>
      </c>
      <c r="D4" t="s">
        <v>36</v>
      </c>
      <c r="E4" t="s">
        <v>0</v>
      </c>
      <c r="F4" t="s">
        <v>1</v>
      </c>
      <c r="G4">
        <v>-4.8100990000000001</v>
      </c>
      <c r="H4">
        <v>1.7389749999999999</v>
      </c>
      <c r="I4">
        <v>4.7822810000000002</v>
      </c>
      <c r="J4">
        <v>9.5278019999999994</v>
      </c>
      <c r="K4">
        <v>97.218509999999995</v>
      </c>
      <c r="L4">
        <v>359.22620000000001</v>
      </c>
    </row>
    <row r="5" spans="1:12" x14ac:dyDescent="0.2">
      <c r="A5" s="1">
        <v>42956.512974537036</v>
      </c>
      <c r="B5">
        <v>1428.8510000000001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1.7376720000000001</v>
      </c>
      <c r="I5">
        <v>-4.3440000000000003</v>
      </c>
      <c r="J5">
        <v>8.3545940000000005</v>
      </c>
      <c r="K5">
        <v>97.025450000000006</v>
      </c>
      <c r="L5">
        <v>358.03379999999999</v>
      </c>
    </row>
    <row r="6" spans="1:12" x14ac:dyDescent="0.2">
      <c r="A6" s="1">
        <v>42956.513298611113</v>
      </c>
      <c r="B6">
        <v>1457.067</v>
      </c>
      <c r="C6">
        <v>1</v>
      </c>
      <c r="D6" t="s">
        <v>35</v>
      </c>
      <c r="E6" t="s">
        <v>2</v>
      </c>
      <c r="F6" t="s">
        <v>0</v>
      </c>
      <c r="G6">
        <v>3.4665780000000002</v>
      </c>
      <c r="H6">
        <v>1.7446729999999999</v>
      </c>
      <c r="I6">
        <v>-4.3670920000000004</v>
      </c>
      <c r="J6">
        <v>6.3838759999999999</v>
      </c>
      <c r="K6">
        <v>87.71557</v>
      </c>
      <c r="L6">
        <v>358.4076</v>
      </c>
    </row>
    <row r="7" spans="1:12" x14ac:dyDescent="0.2">
      <c r="A7" s="1">
        <v>42956.513738425929</v>
      </c>
      <c r="B7">
        <v>1494.895</v>
      </c>
      <c r="C7">
        <v>1</v>
      </c>
      <c r="D7" t="s">
        <v>36</v>
      </c>
      <c r="E7" t="s">
        <v>2</v>
      </c>
      <c r="F7" t="s">
        <v>0</v>
      </c>
      <c r="G7">
        <v>-1.3767689999999999</v>
      </c>
      <c r="H7">
        <v>1.738707</v>
      </c>
      <c r="I7">
        <v>-4.7654810000000003</v>
      </c>
      <c r="J7">
        <v>5.6650669999999996</v>
      </c>
      <c r="K7">
        <v>225.66739999999999</v>
      </c>
      <c r="L7">
        <v>356.2285</v>
      </c>
    </row>
    <row r="8" spans="1:12" x14ac:dyDescent="0.2">
      <c r="A8" s="1">
        <v>42956.513761574075</v>
      </c>
      <c r="B8">
        <v>1497.308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1.739725</v>
      </c>
      <c r="I8">
        <v>1.8169999999999999</v>
      </c>
      <c r="J8">
        <v>9.1986480000000004</v>
      </c>
      <c r="K8">
        <v>225.5445</v>
      </c>
      <c r="L8">
        <v>356.8492</v>
      </c>
    </row>
    <row r="9" spans="1:12" x14ac:dyDescent="0.2">
      <c r="A9" s="1">
        <v>42956.513773148145</v>
      </c>
      <c r="B9">
        <v>1498.556</v>
      </c>
      <c r="C9">
        <v>2</v>
      </c>
      <c r="D9" t="s">
        <v>35</v>
      </c>
      <c r="E9" t="s">
        <v>3</v>
      </c>
      <c r="F9" t="s">
        <v>4</v>
      </c>
      <c r="G9">
        <v>3.362968</v>
      </c>
      <c r="H9">
        <v>1.744888</v>
      </c>
      <c r="I9">
        <v>1.815939</v>
      </c>
      <c r="J9">
        <v>7.9015610000000001</v>
      </c>
      <c r="K9">
        <v>245.85509999999999</v>
      </c>
      <c r="L9">
        <v>356.9554</v>
      </c>
    </row>
    <row r="10" spans="1:12" x14ac:dyDescent="0.2">
      <c r="A10" s="1">
        <v>42956.514270833337</v>
      </c>
      <c r="B10">
        <v>1540.9110000000001</v>
      </c>
      <c r="C10">
        <v>2</v>
      </c>
      <c r="D10" t="s">
        <v>36</v>
      </c>
      <c r="E10" t="s">
        <v>3</v>
      </c>
      <c r="F10" t="s">
        <v>4</v>
      </c>
      <c r="G10">
        <v>4.7494430000000003</v>
      </c>
      <c r="H10">
        <v>1.7329060000000001</v>
      </c>
      <c r="I10">
        <v>-1.1672959999999999</v>
      </c>
      <c r="J10">
        <v>7.6205629999999998</v>
      </c>
      <c r="K10">
        <v>3.042719</v>
      </c>
      <c r="L10">
        <v>357.29</v>
      </c>
    </row>
    <row r="11" spans="1:12" x14ac:dyDescent="0.2">
      <c r="A11" s="1">
        <v>42956.514293981483</v>
      </c>
      <c r="B11">
        <v>1543.5260000000001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1.7321200000000001</v>
      </c>
      <c r="I11">
        <v>4.1399999999999997</v>
      </c>
      <c r="J11">
        <v>8.9874759999999991</v>
      </c>
      <c r="K11">
        <v>5.1988469999999998</v>
      </c>
      <c r="L11">
        <v>357.69560000000001</v>
      </c>
    </row>
    <row r="12" spans="1:12" x14ac:dyDescent="0.2">
      <c r="A12" s="1">
        <v>42956.514560185184</v>
      </c>
      <c r="B12">
        <v>1566.6179999999999</v>
      </c>
      <c r="C12">
        <v>3</v>
      </c>
      <c r="D12" t="s">
        <v>35</v>
      </c>
      <c r="E12" t="s">
        <v>1</v>
      </c>
      <c r="F12" t="s">
        <v>5</v>
      </c>
      <c r="G12">
        <v>-4.0719839999999996</v>
      </c>
      <c r="H12">
        <v>1.7295860000000001</v>
      </c>
      <c r="I12">
        <v>4.1456580000000001</v>
      </c>
      <c r="J12">
        <v>8.9361879999999996</v>
      </c>
      <c r="K12">
        <v>50.07958</v>
      </c>
      <c r="L12">
        <v>357.62</v>
      </c>
    </row>
    <row r="13" spans="1:12" x14ac:dyDescent="0.2">
      <c r="A13" s="1">
        <v>42956.514849537038</v>
      </c>
      <c r="B13">
        <v>1591.4280000000001</v>
      </c>
      <c r="C13">
        <v>3</v>
      </c>
      <c r="D13" t="s">
        <v>36</v>
      </c>
      <c r="E13" t="s">
        <v>1</v>
      </c>
      <c r="F13" t="s">
        <v>5</v>
      </c>
      <c r="G13">
        <v>2.410056</v>
      </c>
      <c r="H13">
        <v>1.7378359999999999</v>
      </c>
      <c r="I13">
        <v>5.206334</v>
      </c>
      <c r="J13">
        <v>7.7200550000000003</v>
      </c>
      <c r="K13">
        <v>133.68539999999999</v>
      </c>
      <c r="L13">
        <v>358.8947</v>
      </c>
    </row>
    <row r="14" spans="1:12" x14ac:dyDescent="0.2">
      <c r="A14" s="1">
        <v>42956.514861111114</v>
      </c>
      <c r="B14">
        <v>1592.625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1.7369239999999999</v>
      </c>
      <c r="I14">
        <v>-0.67300000000000004</v>
      </c>
      <c r="J14">
        <v>8.8092240000000004</v>
      </c>
      <c r="K14">
        <v>135.84690000000001</v>
      </c>
      <c r="L14">
        <v>358.17070000000001</v>
      </c>
    </row>
    <row r="15" spans="1:12" x14ac:dyDescent="0.2">
      <c r="A15" s="1">
        <v>42956.515092592592</v>
      </c>
      <c r="B15">
        <v>1612.2719999999999</v>
      </c>
      <c r="C15">
        <v>4</v>
      </c>
      <c r="D15" t="s">
        <v>35</v>
      </c>
      <c r="E15" t="s">
        <v>4</v>
      </c>
      <c r="F15" t="s">
        <v>6</v>
      </c>
      <c r="G15">
        <v>3.5954329999999999</v>
      </c>
      <c r="H15">
        <v>1.731419</v>
      </c>
      <c r="I15">
        <v>-0.88880400000000004</v>
      </c>
      <c r="J15">
        <v>6.6291599999999997</v>
      </c>
      <c r="K15">
        <v>98.713130000000007</v>
      </c>
      <c r="L15">
        <v>359.72629999999998</v>
      </c>
    </row>
    <row r="16" spans="1:12" x14ac:dyDescent="0.2">
      <c r="A16" s="1">
        <v>42956.5153587963</v>
      </c>
      <c r="B16">
        <v>1635.2760000000001</v>
      </c>
      <c r="C16">
        <v>4</v>
      </c>
      <c r="D16" t="s">
        <v>36</v>
      </c>
      <c r="E16" t="s">
        <v>4</v>
      </c>
      <c r="F16" t="s">
        <v>6</v>
      </c>
      <c r="G16">
        <v>7.2471160000000001</v>
      </c>
      <c r="H16">
        <v>1.7369399999999999</v>
      </c>
      <c r="I16">
        <v>1.964631</v>
      </c>
      <c r="J16">
        <v>11.31659</v>
      </c>
      <c r="K16">
        <v>159.46690000000001</v>
      </c>
      <c r="L16">
        <v>359.2722</v>
      </c>
    </row>
    <row r="17" spans="1:12" x14ac:dyDescent="0.2">
      <c r="A17" s="1">
        <v>42956.515381944446</v>
      </c>
      <c r="B17">
        <v>1637.0809999999999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1.7348889999999999</v>
      </c>
      <c r="I17">
        <v>-4.117</v>
      </c>
      <c r="J17">
        <v>11.590960000000001</v>
      </c>
      <c r="K17">
        <v>159.15790000000001</v>
      </c>
      <c r="L17">
        <v>359.46339999999998</v>
      </c>
    </row>
    <row r="18" spans="1:12" x14ac:dyDescent="0.2">
      <c r="A18" s="1">
        <v>42956.515497685185</v>
      </c>
      <c r="B18">
        <v>1646.9970000000001</v>
      </c>
      <c r="C18">
        <v>5</v>
      </c>
      <c r="D18" t="s">
        <v>35</v>
      </c>
      <c r="E18" t="s">
        <v>0</v>
      </c>
      <c r="F18" t="s">
        <v>1</v>
      </c>
      <c r="G18">
        <v>-0.96862409999999999</v>
      </c>
      <c r="H18">
        <v>1.7411669999999999</v>
      </c>
      <c r="I18">
        <v>-4.2421879999999996</v>
      </c>
      <c r="J18">
        <v>7.1626000000000003</v>
      </c>
      <c r="K18">
        <v>130.107</v>
      </c>
      <c r="L18">
        <v>359.92070000000001</v>
      </c>
    </row>
    <row r="19" spans="1:12" x14ac:dyDescent="0.2">
      <c r="A19" s="1">
        <v>42956.515972222223</v>
      </c>
      <c r="B19">
        <v>1688.4290000000001</v>
      </c>
      <c r="C19">
        <v>5</v>
      </c>
      <c r="D19" t="s">
        <v>36</v>
      </c>
      <c r="E19" t="s">
        <v>0</v>
      </c>
      <c r="F19" t="s">
        <v>1</v>
      </c>
      <c r="G19">
        <v>-3.209095</v>
      </c>
      <c r="H19">
        <v>1.738273</v>
      </c>
      <c r="I19">
        <v>3.5003959999999998</v>
      </c>
      <c r="J19">
        <v>8.1032510000000002</v>
      </c>
      <c r="K19">
        <v>218.91810000000001</v>
      </c>
      <c r="L19">
        <v>355.5994</v>
      </c>
    </row>
    <row r="20" spans="1:12" x14ac:dyDescent="0.2">
      <c r="A20" s="1">
        <v>42956.515983796293</v>
      </c>
      <c r="B20">
        <v>1689.4739999999999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1.7418750000000001</v>
      </c>
      <c r="I20">
        <v>-1.4059999999999999</v>
      </c>
      <c r="J20">
        <v>8.9902390000000008</v>
      </c>
      <c r="K20">
        <v>221.1276</v>
      </c>
      <c r="L20">
        <v>355.32040000000001</v>
      </c>
    </row>
    <row r="21" spans="1:12" x14ac:dyDescent="0.2">
      <c r="A21" s="1">
        <v>42956.516099537039</v>
      </c>
      <c r="B21">
        <v>1699.73</v>
      </c>
      <c r="C21">
        <v>6</v>
      </c>
      <c r="D21" t="s">
        <v>35</v>
      </c>
      <c r="E21" t="s">
        <v>33</v>
      </c>
      <c r="F21" t="s">
        <v>3</v>
      </c>
      <c r="G21">
        <v>-4.0879760000000003</v>
      </c>
      <c r="H21">
        <v>1.742173</v>
      </c>
      <c r="I21">
        <v>-1.5273429999999999</v>
      </c>
      <c r="J21">
        <v>6.869834</v>
      </c>
      <c r="K21">
        <v>79.174000000000007</v>
      </c>
      <c r="L21">
        <v>354.3947</v>
      </c>
    </row>
    <row r="22" spans="1:12" x14ac:dyDescent="0.2">
      <c r="A22" s="1">
        <v>42956.516527777778</v>
      </c>
      <c r="B22">
        <v>1736.4760000000001</v>
      </c>
      <c r="C22">
        <v>6</v>
      </c>
      <c r="D22" t="s">
        <v>36</v>
      </c>
      <c r="E22" t="s">
        <v>33</v>
      </c>
      <c r="F22" t="s">
        <v>3</v>
      </c>
      <c r="G22">
        <v>3.1097790000000001</v>
      </c>
      <c r="H22">
        <v>1.7246649999999999</v>
      </c>
      <c r="I22">
        <v>-2.044</v>
      </c>
      <c r="J22">
        <v>12.67381</v>
      </c>
      <c r="K22">
        <v>281.70030000000003</v>
      </c>
      <c r="L22">
        <v>357.3646</v>
      </c>
    </row>
    <row r="23" spans="1:12" x14ac:dyDescent="0.2">
      <c r="A23" s="1">
        <v>42956.516539351855</v>
      </c>
      <c r="B23">
        <v>1737.606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1.723762</v>
      </c>
      <c r="I23">
        <v>4.1399999999999997</v>
      </c>
      <c r="J23">
        <v>12.79228</v>
      </c>
      <c r="K23">
        <v>279.3673</v>
      </c>
      <c r="L23">
        <v>356.44799999999998</v>
      </c>
    </row>
    <row r="24" spans="1:12" x14ac:dyDescent="0.2">
      <c r="A24" s="1">
        <v>42956.516655092593</v>
      </c>
      <c r="B24">
        <v>1746.932</v>
      </c>
      <c r="C24">
        <v>7</v>
      </c>
      <c r="D24" t="s">
        <v>35</v>
      </c>
      <c r="E24" t="s">
        <v>1</v>
      </c>
      <c r="F24" t="s">
        <v>5</v>
      </c>
      <c r="G24">
        <v>-4.1830769999999999</v>
      </c>
      <c r="H24">
        <v>1.7306349999999999</v>
      </c>
      <c r="I24">
        <v>4.0831929999999996</v>
      </c>
      <c r="J24">
        <v>10.81475</v>
      </c>
      <c r="K24">
        <v>50.229779999999998</v>
      </c>
      <c r="L24">
        <v>355.7276</v>
      </c>
    </row>
    <row r="25" spans="1:12" x14ac:dyDescent="0.2">
      <c r="A25" s="1">
        <v>42956.517060185186</v>
      </c>
      <c r="B25">
        <v>1782.412</v>
      </c>
      <c r="C25">
        <v>7</v>
      </c>
      <c r="D25" t="s">
        <v>36</v>
      </c>
      <c r="E25" t="s">
        <v>1</v>
      </c>
      <c r="F25" t="s">
        <v>5</v>
      </c>
      <c r="G25">
        <v>-0.36347960000000001</v>
      </c>
      <c r="H25">
        <v>1.733349</v>
      </c>
      <c r="I25">
        <v>-0.50879810000000003</v>
      </c>
      <c r="J25">
        <v>7.3579850000000002</v>
      </c>
      <c r="K25">
        <v>59.968290000000003</v>
      </c>
      <c r="L25">
        <v>359.88150000000002</v>
      </c>
    </row>
    <row r="26" spans="1:12" x14ac:dyDescent="0.2">
      <c r="A26" s="1">
        <v>42956.517083333332</v>
      </c>
      <c r="B26">
        <v>1783.9290000000001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1.742855</v>
      </c>
      <c r="I26">
        <v>-4.3440000000000003</v>
      </c>
      <c r="J26">
        <v>5.8249969999999998</v>
      </c>
      <c r="K26">
        <v>61.385399999999997</v>
      </c>
      <c r="L26">
        <v>358.11750000000001</v>
      </c>
    </row>
    <row r="27" spans="1:12" x14ac:dyDescent="0.2">
      <c r="A27" s="1">
        <v>42956.517175925925</v>
      </c>
      <c r="B27">
        <v>1792.309</v>
      </c>
      <c r="C27">
        <v>8</v>
      </c>
      <c r="D27" t="s">
        <v>35</v>
      </c>
      <c r="E27" t="s">
        <v>2</v>
      </c>
      <c r="F27" t="s">
        <v>0</v>
      </c>
      <c r="G27">
        <v>3.4395660000000001</v>
      </c>
      <c r="H27">
        <v>1.7477469999999999</v>
      </c>
      <c r="I27">
        <v>-4.2356629999999997</v>
      </c>
      <c r="J27">
        <v>4.4439919999999997</v>
      </c>
      <c r="K27">
        <v>247.04349999999999</v>
      </c>
      <c r="L27">
        <v>357.32400000000001</v>
      </c>
    </row>
    <row r="28" spans="1:12" x14ac:dyDescent="0.2">
      <c r="A28" s="1">
        <v>42956.517581018517</v>
      </c>
      <c r="B28">
        <v>1826.9829999999999</v>
      </c>
      <c r="C28">
        <v>8</v>
      </c>
      <c r="D28" t="s">
        <v>36</v>
      </c>
      <c r="E28" t="s">
        <v>2</v>
      </c>
      <c r="F28" t="s">
        <v>0</v>
      </c>
      <c r="G28">
        <v>2.1417069999999998</v>
      </c>
      <c r="H28">
        <v>1.7443169999999999</v>
      </c>
      <c r="I28">
        <v>2.288449</v>
      </c>
      <c r="J28">
        <v>4.468127</v>
      </c>
      <c r="K28">
        <v>330.88249999999999</v>
      </c>
      <c r="L28">
        <v>357.84100000000001</v>
      </c>
    </row>
    <row r="29" spans="1:12" x14ac:dyDescent="0.2">
      <c r="A29" s="1">
        <v>42956.517604166664</v>
      </c>
      <c r="B29">
        <v>1829.259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1.739393</v>
      </c>
      <c r="I29">
        <v>-1.4059999999999999</v>
      </c>
      <c r="J29">
        <v>7.9311720000000001</v>
      </c>
      <c r="K29">
        <v>331.2817</v>
      </c>
      <c r="L29">
        <v>355.78070000000002</v>
      </c>
    </row>
    <row r="30" spans="1:12" x14ac:dyDescent="0.2">
      <c r="A30" s="1">
        <v>42956.517708333333</v>
      </c>
      <c r="B30">
        <v>1838.502</v>
      </c>
      <c r="C30">
        <v>9</v>
      </c>
      <c r="D30" t="s">
        <v>35</v>
      </c>
      <c r="E30" t="s">
        <v>33</v>
      </c>
      <c r="F30" t="s">
        <v>3</v>
      </c>
      <c r="G30">
        <v>-3.9182679999999999</v>
      </c>
      <c r="H30">
        <v>1.7364040000000001</v>
      </c>
      <c r="I30">
        <v>-1.512257</v>
      </c>
      <c r="J30">
        <v>8.7142730000000004</v>
      </c>
      <c r="K30">
        <v>178.56389999999999</v>
      </c>
      <c r="L30">
        <v>355.2353</v>
      </c>
    </row>
    <row r="31" spans="1:12" x14ac:dyDescent="0.2">
      <c r="A31" s="1">
        <v>42956.518020833333</v>
      </c>
      <c r="B31">
        <v>1865.2639999999999</v>
      </c>
      <c r="C31">
        <v>9</v>
      </c>
      <c r="D31" t="s">
        <v>36</v>
      </c>
      <c r="E31" t="s">
        <v>33</v>
      </c>
      <c r="F31" t="s">
        <v>3</v>
      </c>
      <c r="G31">
        <v>2.4791050000000001</v>
      </c>
      <c r="H31">
        <v>1.75061</v>
      </c>
      <c r="I31">
        <v>-3.5606260000000001</v>
      </c>
      <c r="J31">
        <v>5.5655060000000001</v>
      </c>
      <c r="K31">
        <v>189.02199999999999</v>
      </c>
      <c r="L31">
        <v>354.10520000000002</v>
      </c>
    </row>
    <row r="32" spans="1:12" x14ac:dyDescent="0.2">
      <c r="A32" s="1">
        <v>42956.51803240741</v>
      </c>
      <c r="B32">
        <v>1866.7149999999999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1.748103</v>
      </c>
      <c r="I32">
        <v>2.7240000000000002</v>
      </c>
      <c r="J32">
        <v>6.1336069999999996</v>
      </c>
      <c r="K32">
        <v>188.10980000000001</v>
      </c>
      <c r="L32">
        <v>354.96660000000003</v>
      </c>
    </row>
    <row r="33" spans="1:12" x14ac:dyDescent="0.2">
      <c r="A33" s="1">
        <v>42956.518125000002</v>
      </c>
      <c r="B33">
        <v>1873.933</v>
      </c>
      <c r="C33">
        <v>10</v>
      </c>
      <c r="D33" t="s">
        <v>35</v>
      </c>
      <c r="E33" t="s">
        <v>5</v>
      </c>
      <c r="F33" t="s">
        <v>2</v>
      </c>
      <c r="G33">
        <v>6.7350419999999994E-2</v>
      </c>
      <c r="H33">
        <v>1.733741</v>
      </c>
      <c r="I33">
        <v>2.665597</v>
      </c>
      <c r="J33">
        <v>9.7755779999999994</v>
      </c>
      <c r="K33">
        <v>210.39599999999999</v>
      </c>
      <c r="L33">
        <v>356.49220000000003</v>
      </c>
    </row>
    <row r="34" spans="1:12" x14ac:dyDescent="0.2">
      <c r="A34" s="1">
        <v>42956.518437500003</v>
      </c>
      <c r="B34">
        <v>1901.576</v>
      </c>
      <c r="C34">
        <v>10</v>
      </c>
      <c r="D34" t="s">
        <v>36</v>
      </c>
      <c r="E34" t="s">
        <v>5</v>
      </c>
      <c r="F34" t="s">
        <v>2</v>
      </c>
      <c r="G34">
        <v>1.3022629999999999</v>
      </c>
      <c r="H34">
        <v>1.7351810000000001</v>
      </c>
      <c r="I34">
        <v>-3.522459</v>
      </c>
      <c r="J34">
        <v>5.5079539999999998</v>
      </c>
      <c r="K34">
        <v>328.94299999999998</v>
      </c>
      <c r="L34">
        <v>356.43549999999999</v>
      </c>
    </row>
    <row r="35" spans="1:12" x14ac:dyDescent="0.2">
      <c r="A35" s="1">
        <v>42956.518449074072</v>
      </c>
      <c r="B35">
        <v>1902.69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1.7382679999999999</v>
      </c>
      <c r="I35">
        <v>-4.117</v>
      </c>
      <c r="J35">
        <v>6.2877679999999998</v>
      </c>
      <c r="K35">
        <v>327.29849999999999</v>
      </c>
      <c r="L35">
        <v>357.07260000000002</v>
      </c>
    </row>
    <row r="36" spans="1:12" x14ac:dyDescent="0.2">
      <c r="A36" s="1">
        <v>42956.518530092595</v>
      </c>
      <c r="B36">
        <v>1909.5050000000001</v>
      </c>
      <c r="C36">
        <v>11</v>
      </c>
      <c r="D36" t="s">
        <v>35</v>
      </c>
      <c r="E36" t="s">
        <v>0</v>
      </c>
      <c r="F36" t="s">
        <v>1</v>
      </c>
      <c r="G36">
        <v>-0.99525960000000002</v>
      </c>
      <c r="H36">
        <v>1.7379560000000001</v>
      </c>
      <c r="I36">
        <v>-4.1018299999999996</v>
      </c>
      <c r="J36">
        <v>8.2839650000000002</v>
      </c>
      <c r="K36">
        <v>120.2856</v>
      </c>
      <c r="L36">
        <v>356.7824</v>
      </c>
    </row>
    <row r="37" spans="1:12" x14ac:dyDescent="0.2">
      <c r="A37" s="1">
        <v>42956.518900462965</v>
      </c>
      <c r="B37">
        <v>1941.3440000000001</v>
      </c>
      <c r="C37">
        <v>11</v>
      </c>
      <c r="D37" t="s">
        <v>36</v>
      </c>
      <c r="E37" t="s">
        <v>0</v>
      </c>
      <c r="F37" t="s">
        <v>1</v>
      </c>
      <c r="G37">
        <v>-1.9515960000000001</v>
      </c>
      <c r="H37">
        <v>1.741862</v>
      </c>
      <c r="I37">
        <v>3.793355</v>
      </c>
      <c r="J37">
        <v>7.7312830000000003</v>
      </c>
      <c r="K37">
        <v>205.655</v>
      </c>
      <c r="L37">
        <v>355.0052</v>
      </c>
    </row>
    <row r="38" spans="1:12" x14ac:dyDescent="0.2">
      <c r="A38" s="1">
        <v>42956.518912037034</v>
      </c>
      <c r="B38">
        <v>1942.4739999999999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1.7425820000000001</v>
      </c>
      <c r="I38">
        <v>1.8169999999999999</v>
      </c>
      <c r="J38">
        <v>7.62582</v>
      </c>
      <c r="K38">
        <v>204.50239999999999</v>
      </c>
      <c r="L38">
        <v>354.9504</v>
      </c>
    </row>
    <row r="39" spans="1:12" x14ac:dyDescent="0.2">
      <c r="A39" s="1">
        <v>42956.519004629627</v>
      </c>
      <c r="B39">
        <v>1950.0989999999999</v>
      </c>
      <c r="C39">
        <v>12</v>
      </c>
      <c r="D39" t="s">
        <v>35</v>
      </c>
      <c r="E39" t="s">
        <v>3</v>
      </c>
      <c r="F39" t="s">
        <v>4</v>
      </c>
      <c r="G39">
        <v>3.3351299999999999</v>
      </c>
      <c r="H39">
        <v>1.7392099999999999</v>
      </c>
      <c r="I39">
        <v>1.699025</v>
      </c>
      <c r="J39">
        <v>10.01554</v>
      </c>
      <c r="K39">
        <v>116.788</v>
      </c>
      <c r="L39">
        <v>356.38679999999999</v>
      </c>
    </row>
    <row r="40" spans="1:12" x14ac:dyDescent="0.2">
      <c r="A40" s="1">
        <v>42956.519293981481</v>
      </c>
      <c r="B40">
        <v>1975.058</v>
      </c>
      <c r="C40">
        <v>12</v>
      </c>
      <c r="D40" t="s">
        <v>36</v>
      </c>
      <c r="E40" t="s">
        <v>3</v>
      </c>
      <c r="F40" t="s">
        <v>4</v>
      </c>
      <c r="G40">
        <v>5.3032729999999999</v>
      </c>
      <c r="H40">
        <v>1.7395860000000001</v>
      </c>
      <c r="I40">
        <v>-4.0669940000000002</v>
      </c>
      <c r="J40">
        <v>6.9453440000000004</v>
      </c>
      <c r="K40">
        <v>80.865260000000006</v>
      </c>
      <c r="L40">
        <v>356.47</v>
      </c>
    </row>
    <row r="41" spans="1:12" x14ac:dyDescent="0.2">
      <c r="A41" s="1">
        <v>42956.519305555557</v>
      </c>
      <c r="B41">
        <v>1976.5930000000001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1.7319519999999999</v>
      </c>
      <c r="I41">
        <v>-1.4059999999999999</v>
      </c>
      <c r="J41">
        <v>8.6327269999999992</v>
      </c>
      <c r="K41">
        <v>80.161969999999997</v>
      </c>
      <c r="L41">
        <v>357.0421</v>
      </c>
    </row>
    <row r="42" spans="1:12" x14ac:dyDescent="0.2">
      <c r="A42" s="1">
        <v>42956.519375000003</v>
      </c>
      <c r="B42">
        <v>1982.749</v>
      </c>
      <c r="C42">
        <v>13</v>
      </c>
      <c r="D42" t="s">
        <v>35</v>
      </c>
      <c r="E42" t="s">
        <v>33</v>
      </c>
      <c r="F42" t="s">
        <v>3</v>
      </c>
      <c r="G42">
        <v>-3.9367070000000002</v>
      </c>
      <c r="H42">
        <v>1.7293620000000001</v>
      </c>
      <c r="I42">
        <v>-1.446097</v>
      </c>
      <c r="J42">
        <v>8.4305140000000005</v>
      </c>
      <c r="K42">
        <v>64.625680000000003</v>
      </c>
      <c r="L42">
        <v>356.4957</v>
      </c>
    </row>
    <row r="43" spans="1:12" x14ac:dyDescent="0.2">
      <c r="A43" s="1">
        <v>42956.519641203704</v>
      </c>
      <c r="B43">
        <v>2004.8409999999999</v>
      </c>
      <c r="C43">
        <v>13</v>
      </c>
      <c r="D43" t="s">
        <v>36</v>
      </c>
      <c r="E43" t="s">
        <v>33</v>
      </c>
      <c r="F43" t="s">
        <v>3</v>
      </c>
      <c r="G43">
        <v>2.9052920000000002</v>
      </c>
      <c r="H43">
        <v>1.733428</v>
      </c>
      <c r="I43">
        <v>-1.5963160000000001</v>
      </c>
      <c r="J43">
        <v>6.9294549999999999</v>
      </c>
      <c r="K43">
        <v>70.634370000000004</v>
      </c>
      <c r="L43">
        <v>355.44200000000001</v>
      </c>
    </row>
    <row r="44" spans="1:12" x14ac:dyDescent="0.2">
      <c r="A44" s="1">
        <v>42956.51966435185</v>
      </c>
      <c r="B44">
        <v>2007.1010000000001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1.735336</v>
      </c>
      <c r="I44">
        <v>2.7240000000000002</v>
      </c>
      <c r="J44">
        <v>7.6207880000000001</v>
      </c>
      <c r="K44">
        <v>69.315160000000006</v>
      </c>
      <c r="L44">
        <v>354.90839999999997</v>
      </c>
    </row>
    <row r="45" spans="1:12" x14ac:dyDescent="0.2">
      <c r="A45" s="1">
        <v>42956.51972222222</v>
      </c>
      <c r="B45">
        <v>2012.6489999999999</v>
      </c>
      <c r="C45">
        <v>14</v>
      </c>
      <c r="D45" t="s">
        <v>35</v>
      </c>
      <c r="E45" t="s">
        <v>5</v>
      </c>
      <c r="F45" t="s">
        <v>2</v>
      </c>
      <c r="G45">
        <v>-1.521639E-2</v>
      </c>
      <c r="H45">
        <v>1.740947</v>
      </c>
      <c r="I45">
        <v>2.5597569999999998</v>
      </c>
      <c r="J45">
        <v>6.8910130000000001</v>
      </c>
      <c r="K45">
        <v>175.77440000000001</v>
      </c>
      <c r="L45">
        <v>353.45659999999998</v>
      </c>
    </row>
    <row r="46" spans="1:12" x14ac:dyDescent="0.2">
      <c r="A46" s="1">
        <v>42956.519976851851</v>
      </c>
      <c r="B46">
        <v>2034.7750000000001</v>
      </c>
      <c r="C46">
        <v>14</v>
      </c>
      <c r="D46" t="s">
        <v>36</v>
      </c>
      <c r="E46" t="s">
        <v>5</v>
      </c>
      <c r="F46" t="s">
        <v>2</v>
      </c>
      <c r="G46">
        <v>-1.014583</v>
      </c>
      <c r="H46">
        <v>1.7415909999999999</v>
      </c>
      <c r="I46">
        <v>-2.716272</v>
      </c>
      <c r="J46">
        <v>6.8610300000000004</v>
      </c>
      <c r="K46">
        <v>228.08930000000001</v>
      </c>
      <c r="L46">
        <v>356.14760000000001</v>
      </c>
    </row>
    <row r="47" spans="1:12" x14ac:dyDescent="0.2">
      <c r="A47" s="1">
        <v>42956.52</v>
      </c>
      <c r="B47">
        <v>2035.787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1.738866</v>
      </c>
      <c r="I47">
        <v>0.09</v>
      </c>
      <c r="J47">
        <v>7.3472980000000003</v>
      </c>
      <c r="K47">
        <v>229.47040000000001</v>
      </c>
      <c r="L47">
        <v>356.15989999999999</v>
      </c>
    </row>
    <row r="48" spans="1:12" x14ac:dyDescent="0.2">
      <c r="A48" s="1">
        <v>42956.52008101852</v>
      </c>
      <c r="B48">
        <v>2043.1379999999999</v>
      </c>
      <c r="C48">
        <v>15</v>
      </c>
      <c r="D48" t="s">
        <v>35</v>
      </c>
      <c r="E48" t="s">
        <v>6</v>
      </c>
      <c r="F48" t="s">
        <v>33</v>
      </c>
      <c r="G48">
        <v>-4.1392540000000002</v>
      </c>
      <c r="H48">
        <v>1.734048</v>
      </c>
      <c r="I48">
        <v>0.1997254</v>
      </c>
      <c r="J48">
        <v>7.3530179999999996</v>
      </c>
      <c r="K48">
        <v>168.9109</v>
      </c>
      <c r="L48">
        <v>351.767</v>
      </c>
    </row>
    <row r="49" spans="1:12" x14ac:dyDescent="0.2">
      <c r="A49" s="1">
        <v>42956.520300925928</v>
      </c>
      <c r="B49">
        <v>2062.3150000000001</v>
      </c>
      <c r="C49">
        <v>15</v>
      </c>
      <c r="D49" t="s">
        <v>36</v>
      </c>
      <c r="E49" t="s">
        <v>6</v>
      </c>
      <c r="F49" t="s">
        <v>33</v>
      </c>
      <c r="G49">
        <v>-2.4540899999999999</v>
      </c>
      <c r="H49">
        <v>1.7415400000000001</v>
      </c>
      <c r="I49">
        <v>2.1082260000000002</v>
      </c>
      <c r="J49">
        <v>11.344060000000001</v>
      </c>
      <c r="K49">
        <v>310.90609999999998</v>
      </c>
      <c r="L49">
        <v>355.56849999999997</v>
      </c>
    </row>
    <row r="50" spans="1:12" x14ac:dyDescent="0.2">
      <c r="A50" s="1">
        <v>42956.520312499997</v>
      </c>
      <c r="B50">
        <v>2063.58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1.7322390000000001</v>
      </c>
      <c r="I50">
        <v>-0.67300000000000004</v>
      </c>
      <c r="J50">
        <v>10.111660000000001</v>
      </c>
      <c r="K50">
        <v>305.71789999999999</v>
      </c>
      <c r="L50">
        <v>356.2088</v>
      </c>
    </row>
    <row r="51" spans="1:12" x14ac:dyDescent="0.2">
      <c r="A51" s="1">
        <v>42956.520486111112</v>
      </c>
      <c r="B51">
        <v>2078.5050000000001</v>
      </c>
      <c r="C51">
        <v>16</v>
      </c>
      <c r="D51" t="s">
        <v>35</v>
      </c>
      <c r="E51" t="s">
        <v>4</v>
      </c>
      <c r="F51" t="s">
        <v>6</v>
      </c>
      <c r="G51">
        <v>3.6877469999999999</v>
      </c>
      <c r="H51">
        <v>1.7548859999999999</v>
      </c>
      <c r="I51">
        <v>-0.66805829999999999</v>
      </c>
      <c r="J51">
        <v>8.048902</v>
      </c>
      <c r="K51">
        <v>56.36992</v>
      </c>
      <c r="L51">
        <v>351.99689999999998</v>
      </c>
    </row>
    <row r="52" spans="1:12" x14ac:dyDescent="0.2">
      <c r="A52" s="1">
        <v>42956.520868055559</v>
      </c>
      <c r="B52">
        <v>2110.8890000000001</v>
      </c>
      <c r="C52">
        <v>16</v>
      </c>
      <c r="D52" t="s">
        <v>36</v>
      </c>
      <c r="E52" t="s">
        <v>4</v>
      </c>
      <c r="F52" t="s">
        <v>6</v>
      </c>
      <c r="G52">
        <v>-1.414253</v>
      </c>
      <c r="H52">
        <v>1.7406349999999999</v>
      </c>
      <c r="I52">
        <v>0.89411249999999998</v>
      </c>
      <c r="J52">
        <v>6.8694199999999999</v>
      </c>
      <c r="K52">
        <v>204.6242</v>
      </c>
      <c r="L52">
        <v>356.17989999999998</v>
      </c>
    </row>
    <row r="53" spans="1:12" x14ac:dyDescent="0.2">
      <c r="A53" s="1">
        <v>42956.520879629628</v>
      </c>
      <c r="B53">
        <v>2112.1030000000001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1.738615</v>
      </c>
      <c r="I53">
        <v>1.8169999999999999</v>
      </c>
      <c r="J53">
        <v>8.4503199999999996</v>
      </c>
      <c r="K53">
        <v>204.40729999999999</v>
      </c>
      <c r="L53">
        <v>356.50709999999998</v>
      </c>
    </row>
    <row r="54" spans="1:12" x14ac:dyDescent="0.2">
      <c r="A54" s="1">
        <v>42956.520972222221</v>
      </c>
      <c r="B54">
        <v>2120.4189999999999</v>
      </c>
      <c r="C54">
        <v>17</v>
      </c>
      <c r="D54" t="s">
        <v>35</v>
      </c>
      <c r="E54" t="s">
        <v>3</v>
      </c>
      <c r="F54" t="s">
        <v>4</v>
      </c>
      <c r="G54">
        <v>3.2755100000000001</v>
      </c>
      <c r="H54">
        <v>1.7420960000000001</v>
      </c>
      <c r="I54">
        <v>1.700591</v>
      </c>
      <c r="J54">
        <v>8.3299920000000007</v>
      </c>
      <c r="K54">
        <v>165.92259999999999</v>
      </c>
      <c r="L54">
        <v>358.34379999999999</v>
      </c>
    </row>
    <row r="55" spans="1:12" x14ac:dyDescent="0.2">
      <c r="A55" s="1">
        <v>42956.521261574075</v>
      </c>
      <c r="B55">
        <v>2145.4160000000002</v>
      </c>
      <c r="C55">
        <v>17</v>
      </c>
      <c r="D55" t="s">
        <v>36</v>
      </c>
      <c r="E55" t="s">
        <v>3</v>
      </c>
      <c r="F55" t="s">
        <v>4</v>
      </c>
      <c r="G55">
        <v>6.4262220000000001</v>
      </c>
      <c r="H55">
        <v>1.7386159999999999</v>
      </c>
      <c r="I55">
        <v>-2.3502269999999998</v>
      </c>
      <c r="J55">
        <v>5.3909880000000001</v>
      </c>
      <c r="K55">
        <v>280.20749999999998</v>
      </c>
      <c r="L55">
        <v>356.75170000000003</v>
      </c>
    </row>
    <row r="56" spans="1:12" x14ac:dyDescent="0.2">
      <c r="A56" s="1">
        <v>42956.521273148152</v>
      </c>
      <c r="B56">
        <v>2146.4960000000001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1.7377609999999999</v>
      </c>
      <c r="I56">
        <v>-4.3440000000000003</v>
      </c>
      <c r="J56">
        <v>7.4820270000000004</v>
      </c>
      <c r="K56">
        <v>284.35340000000002</v>
      </c>
      <c r="L56">
        <v>357.2679</v>
      </c>
    </row>
    <row r="57" spans="1:12" x14ac:dyDescent="0.2">
      <c r="A57" s="1">
        <v>42956.521631944444</v>
      </c>
      <c r="B57">
        <v>2177.0430000000001</v>
      </c>
      <c r="C57">
        <v>18</v>
      </c>
      <c r="D57" t="s">
        <v>35</v>
      </c>
      <c r="E57" t="s">
        <v>2</v>
      </c>
      <c r="F57" t="s">
        <v>0</v>
      </c>
      <c r="G57">
        <v>3.8294299999999999</v>
      </c>
      <c r="H57">
        <v>1.7436879999999999</v>
      </c>
      <c r="I57">
        <v>-4.7949010000000003</v>
      </c>
      <c r="J57">
        <v>9.4855520000000002</v>
      </c>
      <c r="K57">
        <v>258.17759999999998</v>
      </c>
      <c r="L57">
        <v>1.6966110000000001</v>
      </c>
    </row>
    <row r="58" spans="1:12" x14ac:dyDescent="0.2">
      <c r="A58" s="1">
        <v>42956.521898148145</v>
      </c>
      <c r="B58">
        <v>2200.6759999999999</v>
      </c>
      <c r="C58">
        <v>18</v>
      </c>
      <c r="D58" t="s">
        <v>36</v>
      </c>
      <c r="E58" t="s">
        <v>2</v>
      </c>
      <c r="F58" t="s">
        <v>0</v>
      </c>
      <c r="G58">
        <v>-0.43777470000000002</v>
      </c>
      <c r="H58">
        <v>1.7298830000000001</v>
      </c>
      <c r="I58">
        <v>-4.009118</v>
      </c>
      <c r="J58">
        <v>6.3963890000000001</v>
      </c>
      <c r="K58">
        <v>231.5744</v>
      </c>
      <c r="L58">
        <v>358.5204</v>
      </c>
    </row>
    <row r="59" spans="1:12" x14ac:dyDescent="0.2">
      <c r="A59" s="1">
        <v>42956.521921296298</v>
      </c>
      <c r="B59">
        <v>2201.9749999999999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1.735015</v>
      </c>
      <c r="I59">
        <v>-0.67300000000000004</v>
      </c>
      <c r="J59">
        <v>7.941656</v>
      </c>
      <c r="K59">
        <v>238.38659999999999</v>
      </c>
      <c r="L59">
        <v>358.36090000000002</v>
      </c>
    </row>
    <row r="60" spans="1:12" x14ac:dyDescent="0.2">
      <c r="A60" s="1">
        <v>42956.522002314814</v>
      </c>
      <c r="B60">
        <v>2208.924</v>
      </c>
      <c r="C60">
        <v>19</v>
      </c>
      <c r="D60" t="s">
        <v>35</v>
      </c>
      <c r="E60" t="s">
        <v>4</v>
      </c>
      <c r="F60" t="s">
        <v>6</v>
      </c>
      <c r="G60">
        <v>3.7704689999999998</v>
      </c>
      <c r="H60">
        <v>1.7380640000000001</v>
      </c>
      <c r="I60">
        <v>-0.65204899999999999</v>
      </c>
      <c r="J60">
        <v>12.535270000000001</v>
      </c>
      <c r="K60">
        <v>256.02019999999999</v>
      </c>
      <c r="L60">
        <v>357.87889999999999</v>
      </c>
    </row>
    <row r="61" spans="1:12" x14ac:dyDescent="0.2">
      <c r="A61" s="1">
        <v>42956.522268518522</v>
      </c>
      <c r="B61">
        <v>2231.9940000000001</v>
      </c>
      <c r="C61">
        <v>19</v>
      </c>
      <c r="D61" t="s">
        <v>36</v>
      </c>
      <c r="E61" t="s">
        <v>4</v>
      </c>
      <c r="F61" t="s">
        <v>6</v>
      </c>
      <c r="G61">
        <v>-1.600727</v>
      </c>
      <c r="H61">
        <v>1.7098869999999999</v>
      </c>
      <c r="I61">
        <v>-0.76798109999999997</v>
      </c>
      <c r="J61">
        <v>21.21463</v>
      </c>
      <c r="K61">
        <v>91.786029999999997</v>
      </c>
      <c r="L61">
        <v>356.86610000000002</v>
      </c>
    </row>
    <row r="62" spans="1:12" x14ac:dyDescent="0.2">
      <c r="A62" s="1">
        <v>42956.526423611111</v>
      </c>
      <c r="B62">
        <v>63.920760000000001</v>
      </c>
      <c r="C62">
        <v>20</v>
      </c>
      <c r="D62" t="s">
        <v>34</v>
      </c>
      <c r="E62" t="s">
        <v>0</v>
      </c>
      <c r="F62" t="s">
        <v>1</v>
      </c>
      <c r="G62">
        <v>-0.85</v>
      </c>
      <c r="H62">
        <v>1.738329</v>
      </c>
      <c r="I62">
        <v>-4.117</v>
      </c>
      <c r="J62">
        <v>2.4033129999999998</v>
      </c>
      <c r="K62">
        <v>8.5960280000000004</v>
      </c>
      <c r="L62">
        <v>3.6105070000000001</v>
      </c>
    </row>
    <row r="63" spans="1:12" x14ac:dyDescent="0.2">
      <c r="A63" s="1">
        <v>42956.526574074072</v>
      </c>
      <c r="B63">
        <v>77.680989999999994</v>
      </c>
      <c r="C63">
        <v>20</v>
      </c>
      <c r="D63" t="s">
        <v>35</v>
      </c>
      <c r="E63" t="s">
        <v>0</v>
      </c>
      <c r="F63" t="s">
        <v>1</v>
      </c>
      <c r="G63">
        <v>-0.84107960000000004</v>
      </c>
      <c r="H63">
        <v>1.734094</v>
      </c>
      <c r="I63">
        <v>-4.3893930000000001</v>
      </c>
      <c r="J63">
        <v>3.7120639999999998</v>
      </c>
      <c r="K63">
        <v>185.09139999999999</v>
      </c>
      <c r="L63">
        <v>3.956769</v>
      </c>
    </row>
    <row r="64" spans="1:12" x14ac:dyDescent="0.2">
      <c r="A64" s="1">
        <v>42956.526782407411</v>
      </c>
      <c r="B64">
        <v>95.670370000000005</v>
      </c>
      <c r="C64">
        <v>20</v>
      </c>
      <c r="D64" t="s">
        <v>36</v>
      </c>
      <c r="E64" t="s">
        <v>0</v>
      </c>
      <c r="F64" t="s">
        <v>1</v>
      </c>
      <c r="G64">
        <v>-1.2723009999999999</v>
      </c>
      <c r="H64">
        <v>1.740747</v>
      </c>
      <c r="I64">
        <v>-5.7809350000000002E-2</v>
      </c>
      <c r="J64">
        <v>4.9819009999999997</v>
      </c>
      <c r="K64">
        <v>80.364649999999997</v>
      </c>
      <c r="L64">
        <v>358.1678</v>
      </c>
    </row>
    <row r="65" spans="1:12" x14ac:dyDescent="0.2">
      <c r="A65" s="1">
        <v>42956.526805555557</v>
      </c>
      <c r="B65">
        <v>97.052989999999994</v>
      </c>
      <c r="C65">
        <v>21</v>
      </c>
      <c r="D65" t="s">
        <v>34</v>
      </c>
      <c r="E65" t="s">
        <v>2</v>
      </c>
      <c r="F65" t="s">
        <v>0</v>
      </c>
      <c r="G65">
        <v>3.516</v>
      </c>
      <c r="H65">
        <v>1.7365170000000001</v>
      </c>
      <c r="I65">
        <v>-4.3440000000000003</v>
      </c>
      <c r="J65">
        <v>6.9140920000000001</v>
      </c>
      <c r="K65">
        <v>80.821240000000003</v>
      </c>
      <c r="L65">
        <v>357.9554</v>
      </c>
    </row>
    <row r="66" spans="1:12" x14ac:dyDescent="0.2">
      <c r="A66" s="1">
        <v>42956.526932870373</v>
      </c>
      <c r="B66">
        <v>108.1653</v>
      </c>
      <c r="C66">
        <v>21</v>
      </c>
      <c r="D66" t="s">
        <v>35</v>
      </c>
      <c r="E66" t="s">
        <v>2</v>
      </c>
      <c r="F66" t="s">
        <v>0</v>
      </c>
      <c r="G66">
        <v>3.5824069999999999</v>
      </c>
      <c r="H66">
        <v>1.7416229999999999</v>
      </c>
      <c r="I66">
        <v>-4.4618260000000003</v>
      </c>
      <c r="J66">
        <v>359.40929999999997</v>
      </c>
      <c r="K66">
        <v>4.0528969999999997</v>
      </c>
      <c r="L66">
        <v>4.0576460000000001</v>
      </c>
    </row>
    <row r="67" spans="1:12" x14ac:dyDescent="0.2">
      <c r="A67" s="1">
        <v>42956.527118055557</v>
      </c>
      <c r="B67">
        <v>124.2355</v>
      </c>
      <c r="C67">
        <v>21</v>
      </c>
      <c r="D67" t="s">
        <v>36</v>
      </c>
      <c r="E67" t="s">
        <v>2</v>
      </c>
      <c r="F67" t="s">
        <v>0</v>
      </c>
      <c r="G67">
        <v>-0.87497879999999995</v>
      </c>
      <c r="H67">
        <v>1.7328939999999999</v>
      </c>
      <c r="I67">
        <v>-4.7349129999999997</v>
      </c>
      <c r="J67">
        <v>3.3005360000000001</v>
      </c>
      <c r="K67">
        <v>198.84440000000001</v>
      </c>
      <c r="L67">
        <v>358.5804</v>
      </c>
    </row>
    <row r="68" spans="1:12" x14ac:dyDescent="0.2">
      <c r="A68" s="1">
        <v>42956.527129629627</v>
      </c>
      <c r="B68">
        <v>125.4161</v>
      </c>
      <c r="C68">
        <v>22</v>
      </c>
      <c r="D68" t="s">
        <v>34</v>
      </c>
      <c r="E68" t="s">
        <v>3</v>
      </c>
      <c r="F68" t="s">
        <v>4</v>
      </c>
      <c r="G68">
        <v>3.3730000000000002</v>
      </c>
      <c r="H68">
        <v>1.7425139999999999</v>
      </c>
      <c r="I68">
        <v>1.8169999999999999</v>
      </c>
      <c r="J68">
        <v>5.0496189999999999</v>
      </c>
      <c r="K68">
        <v>202.62710000000001</v>
      </c>
      <c r="L68">
        <v>358.66559999999998</v>
      </c>
    </row>
    <row r="69" spans="1:12" x14ac:dyDescent="0.2">
      <c r="A69" s="1">
        <v>42956.527268518519</v>
      </c>
      <c r="B69">
        <v>137.2208</v>
      </c>
      <c r="C69">
        <v>22</v>
      </c>
      <c r="D69" t="s">
        <v>35</v>
      </c>
      <c r="E69" t="s">
        <v>3</v>
      </c>
      <c r="F69" t="s">
        <v>4</v>
      </c>
      <c r="G69">
        <v>3.5587710000000001</v>
      </c>
      <c r="H69">
        <v>1.7410319999999999</v>
      </c>
      <c r="I69">
        <v>1.830246</v>
      </c>
      <c r="J69">
        <v>6.7288500000000004</v>
      </c>
      <c r="K69">
        <v>187.68639999999999</v>
      </c>
      <c r="L69">
        <v>357.12099999999998</v>
      </c>
    </row>
    <row r="70" spans="1:12" x14ac:dyDescent="0.2">
      <c r="A70" s="1">
        <v>42956.527465277781</v>
      </c>
      <c r="B70">
        <v>154.4742</v>
      </c>
      <c r="C70">
        <v>22</v>
      </c>
      <c r="D70" t="s">
        <v>36</v>
      </c>
      <c r="E70" t="s">
        <v>3</v>
      </c>
      <c r="F70" t="s">
        <v>4</v>
      </c>
      <c r="G70">
        <v>-0.72756739999999998</v>
      </c>
      <c r="H70">
        <v>1.754858</v>
      </c>
      <c r="I70">
        <v>1.200026</v>
      </c>
      <c r="J70">
        <v>6.1933829999999999</v>
      </c>
      <c r="K70">
        <v>331.48169999999999</v>
      </c>
      <c r="L70">
        <v>358.43369999999999</v>
      </c>
    </row>
    <row r="71" spans="1:12" x14ac:dyDescent="0.2">
      <c r="A71" s="1">
        <v>42956.52747685185</v>
      </c>
      <c r="B71">
        <v>155.48570000000001</v>
      </c>
      <c r="C71">
        <v>23</v>
      </c>
      <c r="D71" t="s">
        <v>34</v>
      </c>
      <c r="E71" t="s">
        <v>1</v>
      </c>
      <c r="F71" t="s">
        <v>5</v>
      </c>
      <c r="G71">
        <v>-4.0789999999999997</v>
      </c>
      <c r="H71">
        <v>1.7508699999999999</v>
      </c>
      <c r="I71">
        <v>4.1399999999999997</v>
      </c>
      <c r="J71">
        <v>7.6136530000000002</v>
      </c>
      <c r="K71">
        <v>332.16989999999998</v>
      </c>
      <c r="L71">
        <v>358.24799999999999</v>
      </c>
    </row>
    <row r="72" spans="1:12" x14ac:dyDescent="0.2">
      <c r="A72" s="1">
        <v>42956.528009259258</v>
      </c>
      <c r="B72">
        <v>201.017</v>
      </c>
      <c r="C72">
        <v>23</v>
      </c>
      <c r="D72" t="s">
        <v>35</v>
      </c>
      <c r="E72" t="s">
        <v>1</v>
      </c>
      <c r="F72" t="s">
        <v>5</v>
      </c>
      <c r="G72">
        <v>-3.2506979999999999</v>
      </c>
      <c r="H72">
        <v>1.7598259999999999</v>
      </c>
      <c r="I72">
        <v>4.2073020000000003</v>
      </c>
      <c r="J72">
        <v>1.973741</v>
      </c>
      <c r="K72">
        <v>50.763420000000004</v>
      </c>
      <c r="L72">
        <v>357.9692</v>
      </c>
    </row>
    <row r="73" spans="1:12" x14ac:dyDescent="0.2">
      <c r="A73" s="1">
        <v>42956.528935185182</v>
      </c>
      <c r="B73">
        <v>281.5652</v>
      </c>
      <c r="C73">
        <v>23</v>
      </c>
      <c r="D73" t="s">
        <v>36</v>
      </c>
      <c r="E73" t="s">
        <v>1</v>
      </c>
      <c r="F73" t="s">
        <v>5</v>
      </c>
      <c r="G73">
        <v>-0.34775020000000001</v>
      </c>
      <c r="H73">
        <v>1.7426569999999999</v>
      </c>
      <c r="I73">
        <v>-0.99165340000000002</v>
      </c>
      <c r="J73">
        <v>6.8807400000000003</v>
      </c>
      <c r="K73">
        <v>50.412010000000002</v>
      </c>
      <c r="L73">
        <v>358.93079999999998</v>
      </c>
    </row>
    <row r="74" spans="1:12" x14ac:dyDescent="0.2">
      <c r="A74" s="1">
        <v>42956.528958333336</v>
      </c>
      <c r="B74">
        <v>283.13339999999999</v>
      </c>
      <c r="C74">
        <v>24</v>
      </c>
      <c r="D74" t="s">
        <v>34</v>
      </c>
      <c r="E74" t="s">
        <v>4</v>
      </c>
      <c r="F74" t="s">
        <v>6</v>
      </c>
      <c r="G74">
        <v>3.9180000000000001</v>
      </c>
      <c r="H74">
        <v>1.737886</v>
      </c>
      <c r="I74">
        <v>-0.67300000000000004</v>
      </c>
      <c r="J74">
        <v>8.3951550000000008</v>
      </c>
      <c r="K74">
        <v>49.948689999999999</v>
      </c>
      <c r="L74">
        <v>359.95260000000002</v>
      </c>
    </row>
    <row r="75" spans="1:12" x14ac:dyDescent="0.2">
      <c r="A75" s="1">
        <v>42956.529027777775</v>
      </c>
      <c r="B75">
        <v>289.27089999999998</v>
      </c>
      <c r="C75">
        <v>24</v>
      </c>
      <c r="D75" t="s">
        <v>35</v>
      </c>
      <c r="E75" t="s">
        <v>4</v>
      </c>
      <c r="F75" t="s">
        <v>6</v>
      </c>
      <c r="G75">
        <v>3.8693599999999999</v>
      </c>
      <c r="H75">
        <v>1.7327360000000001</v>
      </c>
      <c r="I75">
        <v>-0.63340909999999995</v>
      </c>
      <c r="J75">
        <v>9.0169060000000005</v>
      </c>
      <c r="K75">
        <v>354.95060000000001</v>
      </c>
      <c r="L75">
        <v>358.89359999999999</v>
      </c>
    </row>
    <row r="76" spans="1:12" x14ac:dyDescent="0.2">
      <c r="A76" s="1">
        <v>42956.529351851852</v>
      </c>
      <c r="B76">
        <v>317.39420000000001</v>
      </c>
      <c r="C76">
        <v>24</v>
      </c>
      <c r="D76" t="s">
        <v>36</v>
      </c>
      <c r="E76" t="s">
        <v>4</v>
      </c>
      <c r="F76" t="s">
        <v>6</v>
      </c>
      <c r="G76">
        <v>-0.31943680000000002</v>
      </c>
      <c r="H76">
        <v>1.7384459999999999</v>
      </c>
      <c r="I76">
        <v>1.051987</v>
      </c>
      <c r="J76">
        <v>5.8592120000000003</v>
      </c>
      <c r="K76">
        <v>165.98830000000001</v>
      </c>
      <c r="L76">
        <v>358.24799999999999</v>
      </c>
    </row>
    <row r="77" spans="1:12" x14ac:dyDescent="0.2">
      <c r="A77" s="1">
        <v>42956.529363425929</v>
      </c>
      <c r="B77">
        <v>318.50709999999998</v>
      </c>
      <c r="C77">
        <v>25</v>
      </c>
      <c r="D77" t="s">
        <v>34</v>
      </c>
      <c r="E77" t="s">
        <v>0</v>
      </c>
      <c r="F77" t="s">
        <v>1</v>
      </c>
      <c r="G77">
        <v>-0.85</v>
      </c>
      <c r="H77">
        <v>1.7351799999999999</v>
      </c>
      <c r="I77">
        <v>-4.117</v>
      </c>
      <c r="J77">
        <v>7.4958819999999999</v>
      </c>
      <c r="K77">
        <v>166.35810000000001</v>
      </c>
      <c r="L77">
        <v>358.58879999999999</v>
      </c>
    </row>
    <row r="78" spans="1:12" x14ac:dyDescent="0.2">
      <c r="A78" s="1">
        <v>42956.529467592591</v>
      </c>
      <c r="B78">
        <v>326.97289999999998</v>
      </c>
      <c r="C78">
        <v>25</v>
      </c>
      <c r="D78" t="s">
        <v>35</v>
      </c>
      <c r="E78" t="s">
        <v>0</v>
      </c>
      <c r="F78" t="s">
        <v>1</v>
      </c>
      <c r="G78">
        <v>-0.85546719999999998</v>
      </c>
      <c r="H78">
        <v>1.7286220000000001</v>
      </c>
      <c r="I78">
        <v>-4.1286430000000003</v>
      </c>
      <c r="J78">
        <v>8.1736620000000002</v>
      </c>
      <c r="K78">
        <v>173.3193</v>
      </c>
      <c r="L78">
        <v>2.7681190000000001E-2</v>
      </c>
    </row>
    <row r="79" spans="1:12" x14ac:dyDescent="0.2">
      <c r="A79" s="1">
        <v>42956.529641203706</v>
      </c>
      <c r="B79">
        <v>342.57310000000001</v>
      </c>
      <c r="C79">
        <v>25</v>
      </c>
      <c r="D79" t="s">
        <v>36</v>
      </c>
      <c r="E79" t="s">
        <v>0</v>
      </c>
      <c r="F79" t="s">
        <v>1</v>
      </c>
      <c r="G79">
        <v>-4.026052</v>
      </c>
      <c r="H79">
        <v>1.735344</v>
      </c>
      <c r="I79">
        <v>-0.20754030000000001</v>
      </c>
      <c r="J79">
        <v>7.1984019999999997</v>
      </c>
      <c r="K79">
        <v>30.42925</v>
      </c>
      <c r="L79">
        <v>357.8306</v>
      </c>
    </row>
    <row r="80" spans="1:12" x14ac:dyDescent="0.2">
      <c r="A80" s="1">
        <v>42956.529652777775</v>
      </c>
      <c r="B80">
        <v>343.70319999999998</v>
      </c>
      <c r="C80">
        <v>26</v>
      </c>
      <c r="D80" t="s">
        <v>34</v>
      </c>
      <c r="E80" t="s">
        <v>33</v>
      </c>
      <c r="F80" t="s">
        <v>3</v>
      </c>
      <c r="G80">
        <v>-3.9809999999999999</v>
      </c>
      <c r="H80">
        <v>1.730351</v>
      </c>
      <c r="I80">
        <v>-1.4059999999999999</v>
      </c>
      <c r="J80">
        <v>8.5753920000000008</v>
      </c>
      <c r="K80">
        <v>29.228860000000001</v>
      </c>
      <c r="L80">
        <v>358.8895</v>
      </c>
    </row>
    <row r="81" spans="1:12" x14ac:dyDescent="0.2">
      <c r="A81" s="1">
        <v>42956.529733796298</v>
      </c>
      <c r="B81">
        <v>350.66890000000001</v>
      </c>
      <c r="C81">
        <v>26</v>
      </c>
      <c r="D81" t="s">
        <v>35</v>
      </c>
      <c r="E81" t="s">
        <v>33</v>
      </c>
      <c r="F81" t="s">
        <v>3</v>
      </c>
      <c r="G81">
        <v>-3.9054709999999999</v>
      </c>
      <c r="H81">
        <v>1.72695</v>
      </c>
      <c r="I81">
        <v>-1.3314900000000001</v>
      </c>
      <c r="J81">
        <v>9.9751910000000006</v>
      </c>
      <c r="K81">
        <v>165.0301</v>
      </c>
      <c r="L81">
        <v>359.14460000000003</v>
      </c>
    </row>
    <row r="82" spans="1:12" x14ac:dyDescent="0.2">
      <c r="A82" s="1">
        <v>42956.529942129629</v>
      </c>
      <c r="B82">
        <v>368.5444</v>
      </c>
      <c r="C82">
        <v>26</v>
      </c>
      <c r="D82" t="s">
        <v>36</v>
      </c>
      <c r="E82" t="s">
        <v>33</v>
      </c>
      <c r="F82" t="s">
        <v>3</v>
      </c>
      <c r="G82">
        <v>0.86663630000000003</v>
      </c>
      <c r="H82">
        <v>1.7419579999999999</v>
      </c>
      <c r="I82">
        <v>-1.83788</v>
      </c>
      <c r="J82">
        <v>5.533919</v>
      </c>
      <c r="K82">
        <v>356.15359999999998</v>
      </c>
      <c r="L82">
        <v>357.90649999999999</v>
      </c>
    </row>
    <row r="83" spans="1:12" x14ac:dyDescent="0.2">
      <c r="A83" s="1">
        <v>42956.529965277776</v>
      </c>
      <c r="B83">
        <v>370.06240000000003</v>
      </c>
      <c r="C83">
        <v>27</v>
      </c>
      <c r="D83" t="s">
        <v>34</v>
      </c>
      <c r="E83" t="s">
        <v>1</v>
      </c>
      <c r="F83" t="s">
        <v>5</v>
      </c>
      <c r="G83">
        <v>-4.0789999999999997</v>
      </c>
      <c r="H83">
        <v>1.7404109999999999</v>
      </c>
      <c r="I83">
        <v>4.1399999999999997</v>
      </c>
      <c r="J83">
        <v>8.1627960000000002</v>
      </c>
      <c r="K83">
        <v>354.64850000000001</v>
      </c>
      <c r="L83">
        <v>357.83550000000002</v>
      </c>
    </row>
    <row r="84" spans="1:12" x14ac:dyDescent="0.2">
      <c r="A84" s="1">
        <v>42956.530081018522</v>
      </c>
      <c r="B84">
        <v>380.73829999999998</v>
      </c>
      <c r="C84">
        <v>27</v>
      </c>
      <c r="D84" t="s">
        <v>35</v>
      </c>
      <c r="E84" t="s">
        <v>1</v>
      </c>
      <c r="F84" t="s">
        <v>5</v>
      </c>
      <c r="G84">
        <v>-4.0356189999999996</v>
      </c>
      <c r="H84">
        <v>1.7391650000000001</v>
      </c>
      <c r="I84">
        <v>4.2921940000000003</v>
      </c>
      <c r="J84">
        <v>8.3590800000000005</v>
      </c>
      <c r="K84">
        <v>354.49059999999997</v>
      </c>
      <c r="L84">
        <v>358.41950000000003</v>
      </c>
    </row>
    <row r="85" spans="1:12" x14ac:dyDescent="0.2">
      <c r="A85" s="1">
        <v>42956.530381944445</v>
      </c>
      <c r="B85">
        <v>406.3399</v>
      </c>
      <c r="C85">
        <v>27</v>
      </c>
      <c r="D85" t="s">
        <v>36</v>
      </c>
      <c r="E85" t="s">
        <v>1</v>
      </c>
      <c r="F85" t="s">
        <v>5</v>
      </c>
      <c r="G85">
        <v>-1.086751</v>
      </c>
      <c r="H85">
        <v>1.7340519999999999</v>
      </c>
      <c r="I85">
        <v>-0.60545590000000005</v>
      </c>
      <c r="J85">
        <v>8.9355180000000001</v>
      </c>
      <c r="K85">
        <v>348.50990000000002</v>
      </c>
      <c r="L85">
        <v>358.77229999999997</v>
      </c>
    </row>
    <row r="86" spans="1:12" x14ac:dyDescent="0.2">
      <c r="A86" s="1">
        <v>42956.530393518522</v>
      </c>
      <c r="B86">
        <v>407.72289999999998</v>
      </c>
      <c r="C86">
        <v>28</v>
      </c>
      <c r="D86" t="s">
        <v>34</v>
      </c>
      <c r="E86" t="s">
        <v>2</v>
      </c>
      <c r="F86" t="s">
        <v>0</v>
      </c>
      <c r="G86">
        <v>3.516</v>
      </c>
      <c r="H86">
        <v>1.72889</v>
      </c>
      <c r="I86">
        <v>-4.3440000000000003</v>
      </c>
      <c r="J86">
        <v>9.7446370000000009</v>
      </c>
      <c r="K86">
        <v>349.87389999999999</v>
      </c>
      <c r="L86">
        <v>358.95929999999998</v>
      </c>
    </row>
    <row r="87" spans="1:12" x14ac:dyDescent="0.2">
      <c r="A87" s="1">
        <v>42956.53056712963</v>
      </c>
      <c r="B87">
        <v>422.5324</v>
      </c>
      <c r="C87">
        <v>28</v>
      </c>
      <c r="D87" t="s">
        <v>35</v>
      </c>
      <c r="E87" t="s">
        <v>2</v>
      </c>
      <c r="F87" t="s">
        <v>0</v>
      </c>
      <c r="G87">
        <v>3.8000929999999999</v>
      </c>
      <c r="H87">
        <v>1.730461</v>
      </c>
      <c r="I87">
        <v>-4.1326739999999997</v>
      </c>
      <c r="J87">
        <v>10.63738</v>
      </c>
      <c r="K87">
        <v>301.31630000000001</v>
      </c>
      <c r="L87">
        <v>1.643275</v>
      </c>
    </row>
    <row r="88" spans="1:12" x14ac:dyDescent="0.2">
      <c r="A88" s="1">
        <v>42956.530810185184</v>
      </c>
      <c r="B88">
        <v>443.00920000000002</v>
      </c>
      <c r="C88">
        <v>28</v>
      </c>
      <c r="D88" t="s">
        <v>36</v>
      </c>
      <c r="E88" t="s">
        <v>2</v>
      </c>
      <c r="F88" t="s">
        <v>0</v>
      </c>
      <c r="G88">
        <v>4.5233679999999996</v>
      </c>
      <c r="H88">
        <v>1.7410620000000001</v>
      </c>
      <c r="I88">
        <v>-8.891553</v>
      </c>
      <c r="J88">
        <v>5.7262890000000004</v>
      </c>
      <c r="K88">
        <v>201.42349999999999</v>
      </c>
      <c r="L88">
        <v>0.52490680000000001</v>
      </c>
    </row>
    <row r="89" spans="1:12" x14ac:dyDescent="0.2">
      <c r="A89" s="1">
        <v>42956.530821759261</v>
      </c>
      <c r="B89">
        <v>444.1225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1.7348889999999999</v>
      </c>
      <c r="I89">
        <v>-1.4059999999999999</v>
      </c>
      <c r="J89">
        <v>7.5268389999999998</v>
      </c>
      <c r="K89">
        <v>202.15729999999999</v>
      </c>
      <c r="L89">
        <v>357.67829999999998</v>
      </c>
    </row>
    <row r="90" spans="1:12" x14ac:dyDescent="0.2">
      <c r="A90" s="1">
        <v>42956.53087962963</v>
      </c>
      <c r="B90">
        <v>449.3854</v>
      </c>
      <c r="C90">
        <v>29</v>
      </c>
      <c r="D90" t="s">
        <v>35</v>
      </c>
      <c r="E90" t="s">
        <v>33</v>
      </c>
      <c r="F90" t="s">
        <v>3</v>
      </c>
      <c r="G90">
        <v>-3.9883000000000002</v>
      </c>
      <c r="H90">
        <v>1.7339039999999999</v>
      </c>
      <c r="I90">
        <v>-1.4268799999999999</v>
      </c>
      <c r="J90">
        <v>8.0055940000000003</v>
      </c>
      <c r="K90">
        <v>203.87360000000001</v>
      </c>
      <c r="L90">
        <v>357.07060000000001</v>
      </c>
    </row>
    <row r="91" spans="1:12" x14ac:dyDescent="0.2">
      <c r="A91" s="1">
        <v>42956.531099537038</v>
      </c>
      <c r="B91">
        <v>468.17570000000001</v>
      </c>
      <c r="C91">
        <v>29</v>
      </c>
      <c r="D91" t="s">
        <v>36</v>
      </c>
      <c r="E91" t="s">
        <v>33</v>
      </c>
      <c r="F91" t="s">
        <v>3</v>
      </c>
      <c r="G91">
        <v>0.4843402</v>
      </c>
      <c r="H91">
        <v>1.7341899999999999</v>
      </c>
      <c r="I91">
        <v>-2.9635929999999999</v>
      </c>
      <c r="J91">
        <v>7.4265480000000004</v>
      </c>
      <c r="K91">
        <v>310.58600000000001</v>
      </c>
      <c r="L91">
        <v>357.5951</v>
      </c>
    </row>
    <row r="92" spans="1:12" x14ac:dyDescent="0.2">
      <c r="A92" s="1">
        <v>42956.531111111108</v>
      </c>
      <c r="B92">
        <v>469.6431</v>
      </c>
      <c r="C92">
        <v>30</v>
      </c>
      <c r="D92" t="s">
        <v>34</v>
      </c>
      <c r="E92" t="s">
        <v>5</v>
      </c>
      <c r="F92" t="s">
        <v>2</v>
      </c>
      <c r="G92">
        <v>1.6E-2</v>
      </c>
      <c r="H92">
        <v>1.7301089999999999</v>
      </c>
      <c r="I92">
        <v>2.7240000000000002</v>
      </c>
      <c r="J92">
        <v>9.0552379999999992</v>
      </c>
      <c r="K92">
        <v>314.2122</v>
      </c>
      <c r="L92">
        <v>357.62990000000002</v>
      </c>
    </row>
    <row r="93" spans="1:12" x14ac:dyDescent="0.2">
      <c r="A93" s="1">
        <v>42956.531192129631</v>
      </c>
      <c r="B93">
        <v>476.23869999999999</v>
      </c>
      <c r="C93">
        <v>30</v>
      </c>
      <c r="D93" t="s">
        <v>35</v>
      </c>
      <c r="E93" t="s">
        <v>5</v>
      </c>
      <c r="F93" t="s">
        <v>2</v>
      </c>
      <c r="G93">
        <v>4.3809029999999999E-2</v>
      </c>
      <c r="H93">
        <v>1.7314879999999999</v>
      </c>
      <c r="I93">
        <v>2.7245219999999999</v>
      </c>
      <c r="J93">
        <v>5.8772469999999997</v>
      </c>
      <c r="K93">
        <v>316.44369999999998</v>
      </c>
      <c r="L93">
        <v>0.32057249999999998</v>
      </c>
    </row>
    <row r="94" spans="1:12" x14ac:dyDescent="0.2">
      <c r="A94" s="1">
        <v>42956.531446759262</v>
      </c>
      <c r="B94">
        <v>498.62380000000002</v>
      </c>
      <c r="C94">
        <v>30</v>
      </c>
      <c r="D94" t="s">
        <v>36</v>
      </c>
      <c r="E94" t="s">
        <v>5</v>
      </c>
      <c r="F94" t="s">
        <v>2</v>
      </c>
      <c r="G94">
        <v>3.9794719999999999</v>
      </c>
      <c r="H94">
        <v>1.7350779999999999</v>
      </c>
      <c r="I94">
        <v>4.9763989999999998</v>
      </c>
      <c r="J94">
        <v>7.0912329999999999</v>
      </c>
      <c r="K94">
        <v>94.562160000000006</v>
      </c>
      <c r="L94">
        <v>358.30309999999997</v>
      </c>
    </row>
    <row r="95" spans="1:12" x14ac:dyDescent="0.2">
      <c r="A95" s="1">
        <v>42956.531458333331</v>
      </c>
      <c r="B95">
        <v>499.65280000000001</v>
      </c>
      <c r="C95">
        <v>31</v>
      </c>
      <c r="D95" t="s">
        <v>34</v>
      </c>
      <c r="E95" t="s">
        <v>0</v>
      </c>
      <c r="F95" t="s">
        <v>1</v>
      </c>
      <c r="G95">
        <v>-0.85</v>
      </c>
      <c r="H95">
        <v>1.731773</v>
      </c>
      <c r="I95">
        <v>-4.117</v>
      </c>
      <c r="J95">
        <v>8.6049989999999994</v>
      </c>
      <c r="K95">
        <v>94.773660000000007</v>
      </c>
      <c r="L95">
        <v>357.76299999999998</v>
      </c>
    </row>
    <row r="96" spans="1:12" x14ac:dyDescent="0.2">
      <c r="A96" s="1">
        <v>42956.531550925924</v>
      </c>
      <c r="B96">
        <v>507.51330000000002</v>
      </c>
      <c r="C96">
        <v>31</v>
      </c>
      <c r="D96" t="s">
        <v>35</v>
      </c>
      <c r="E96" t="s">
        <v>0</v>
      </c>
      <c r="F96" t="s">
        <v>1</v>
      </c>
      <c r="G96">
        <v>-0.78310360000000001</v>
      </c>
      <c r="H96">
        <v>1.72906</v>
      </c>
      <c r="I96">
        <v>-4.1558909999999996</v>
      </c>
      <c r="J96">
        <v>10.73981</v>
      </c>
      <c r="K96">
        <v>139.14420000000001</v>
      </c>
      <c r="L96">
        <v>357.80610000000001</v>
      </c>
    </row>
    <row r="97" spans="1:12" x14ac:dyDescent="0.2">
      <c r="A97" s="1">
        <v>42956.531805555554</v>
      </c>
      <c r="B97">
        <v>529.20450000000005</v>
      </c>
      <c r="C97">
        <v>31</v>
      </c>
      <c r="D97" t="s">
        <v>36</v>
      </c>
      <c r="E97" t="s">
        <v>0</v>
      </c>
      <c r="F97" t="s">
        <v>1</v>
      </c>
      <c r="G97">
        <v>1.105261</v>
      </c>
      <c r="H97">
        <v>1.734648</v>
      </c>
      <c r="I97">
        <v>0.50543550000000004</v>
      </c>
      <c r="J97">
        <v>6.2789159999999997</v>
      </c>
      <c r="K97">
        <v>65.266310000000004</v>
      </c>
      <c r="L97">
        <v>358.73379999999997</v>
      </c>
    </row>
    <row r="98" spans="1:12" x14ac:dyDescent="0.2">
      <c r="A98" s="1">
        <v>42956.531817129631</v>
      </c>
      <c r="B98">
        <v>530.63819999999998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1.7294039999999999</v>
      </c>
      <c r="I98">
        <v>1.8169999999999999</v>
      </c>
      <c r="J98">
        <v>6.2139680000000004</v>
      </c>
      <c r="K98">
        <v>65.110969999999995</v>
      </c>
      <c r="L98">
        <v>358.28800000000001</v>
      </c>
    </row>
    <row r="99" spans="1:12" x14ac:dyDescent="0.2">
      <c r="A99" s="1">
        <v>42956.531886574077</v>
      </c>
      <c r="B99">
        <v>536.88</v>
      </c>
      <c r="C99">
        <v>32</v>
      </c>
      <c r="D99" t="s">
        <v>35</v>
      </c>
      <c r="E99" t="s">
        <v>3</v>
      </c>
      <c r="F99" t="s">
        <v>4</v>
      </c>
      <c r="G99">
        <v>3.3512179999999998</v>
      </c>
      <c r="H99">
        <v>1.7271270000000001</v>
      </c>
      <c r="I99">
        <v>1.8664860000000001</v>
      </c>
      <c r="J99">
        <v>9.7753119999999996</v>
      </c>
      <c r="K99">
        <v>52.66686</v>
      </c>
      <c r="L99">
        <v>358.24610000000001</v>
      </c>
    </row>
    <row r="100" spans="1:12" x14ac:dyDescent="0.2">
      <c r="A100" s="1">
        <v>42956.532129629632</v>
      </c>
      <c r="B100">
        <v>557.50750000000005</v>
      </c>
      <c r="C100">
        <v>32</v>
      </c>
      <c r="D100" t="s">
        <v>36</v>
      </c>
      <c r="E100" t="s">
        <v>3</v>
      </c>
      <c r="F100" t="s">
        <v>4</v>
      </c>
      <c r="G100">
        <v>8.2871989999999993</v>
      </c>
      <c r="H100">
        <v>1.734758</v>
      </c>
      <c r="I100">
        <v>1.5302249999999999</v>
      </c>
      <c r="J100">
        <v>6.3459589999999997</v>
      </c>
      <c r="K100">
        <v>325.31920000000002</v>
      </c>
      <c r="L100">
        <v>358.59289999999999</v>
      </c>
    </row>
    <row r="101" spans="1:12" x14ac:dyDescent="0.2">
      <c r="A101" s="1">
        <v>42956.532152777778</v>
      </c>
      <c r="B101">
        <v>559.17780000000005</v>
      </c>
      <c r="C101">
        <v>33</v>
      </c>
      <c r="D101" t="s">
        <v>34</v>
      </c>
      <c r="E101" t="s">
        <v>33</v>
      </c>
      <c r="F101" t="s">
        <v>3</v>
      </c>
      <c r="G101">
        <v>-3.9809999999999999</v>
      </c>
      <c r="H101">
        <v>1.7326440000000001</v>
      </c>
      <c r="I101">
        <v>-1.4059999999999999</v>
      </c>
      <c r="J101">
        <v>7.6005950000000002</v>
      </c>
      <c r="K101">
        <v>326.2371</v>
      </c>
      <c r="L101">
        <v>357.42450000000002</v>
      </c>
    </row>
    <row r="102" spans="1:12" x14ac:dyDescent="0.2">
      <c r="A102" s="1">
        <v>42956.532210648147</v>
      </c>
      <c r="B102">
        <v>564.61120000000005</v>
      </c>
      <c r="C102">
        <v>33</v>
      </c>
      <c r="D102" t="s">
        <v>35</v>
      </c>
      <c r="E102" t="s">
        <v>33</v>
      </c>
      <c r="F102" t="s">
        <v>3</v>
      </c>
      <c r="G102">
        <v>-3.9653719999999999</v>
      </c>
      <c r="H102">
        <v>1.7387790000000001</v>
      </c>
      <c r="I102">
        <v>-1.404317</v>
      </c>
      <c r="J102">
        <v>4.1624869999999996</v>
      </c>
      <c r="K102">
        <v>323.34339999999997</v>
      </c>
      <c r="L102">
        <v>359.58319999999998</v>
      </c>
    </row>
    <row r="103" spans="1:12" x14ac:dyDescent="0.2">
      <c r="A103" s="1">
        <v>42956.532430555555</v>
      </c>
      <c r="B103">
        <v>583.35429999999997</v>
      </c>
      <c r="C103">
        <v>33</v>
      </c>
      <c r="D103" t="s">
        <v>36</v>
      </c>
      <c r="E103" t="s">
        <v>33</v>
      </c>
      <c r="F103" t="s">
        <v>3</v>
      </c>
      <c r="G103">
        <v>1.056532</v>
      </c>
      <c r="H103">
        <v>1.7393339999999999</v>
      </c>
      <c r="I103">
        <v>-0.43176599999999998</v>
      </c>
      <c r="J103">
        <v>6.3534839999999999</v>
      </c>
      <c r="K103">
        <v>141.8279</v>
      </c>
      <c r="L103">
        <v>358.51130000000001</v>
      </c>
    </row>
    <row r="104" spans="1:12" x14ac:dyDescent="0.2">
      <c r="A104" s="1">
        <v>42956.532442129632</v>
      </c>
      <c r="B104">
        <v>584.93989999999997</v>
      </c>
      <c r="C104">
        <v>34</v>
      </c>
      <c r="D104" t="s">
        <v>34</v>
      </c>
      <c r="E104" t="s">
        <v>5</v>
      </c>
      <c r="F104" t="s">
        <v>2</v>
      </c>
      <c r="G104">
        <v>1.6E-2</v>
      </c>
      <c r="H104">
        <v>1.7319929999999999</v>
      </c>
      <c r="I104">
        <v>2.7240000000000002</v>
      </c>
      <c r="J104">
        <v>6.7360600000000002</v>
      </c>
      <c r="K104">
        <v>145.75219999999999</v>
      </c>
      <c r="L104">
        <v>357.14870000000002</v>
      </c>
    </row>
    <row r="105" spans="1:12" x14ac:dyDescent="0.2">
      <c r="A105" s="1">
        <v>42956.532581018517</v>
      </c>
      <c r="B105">
        <v>596.02260000000001</v>
      </c>
      <c r="C105">
        <v>34</v>
      </c>
      <c r="D105" t="s">
        <v>35</v>
      </c>
      <c r="E105" t="s">
        <v>5</v>
      </c>
      <c r="F105" t="s">
        <v>2</v>
      </c>
      <c r="G105">
        <v>0.21236920000000001</v>
      </c>
      <c r="H105">
        <v>1.7277039999999999</v>
      </c>
      <c r="I105">
        <v>2.7019160000000002</v>
      </c>
      <c r="J105">
        <v>8.2428399999999993</v>
      </c>
      <c r="K105">
        <v>167.09479999999999</v>
      </c>
      <c r="L105">
        <v>358.37889999999999</v>
      </c>
    </row>
    <row r="106" spans="1:12" x14ac:dyDescent="0.2">
      <c r="A106" s="1">
        <v>42956.532812500001</v>
      </c>
      <c r="B106">
        <v>616.61829999999998</v>
      </c>
      <c r="C106">
        <v>34</v>
      </c>
      <c r="D106" t="s">
        <v>36</v>
      </c>
      <c r="E106" t="s">
        <v>5</v>
      </c>
      <c r="F106" t="s">
        <v>2</v>
      </c>
      <c r="G106">
        <v>-3.42788</v>
      </c>
      <c r="H106">
        <v>1.7296929999999999</v>
      </c>
      <c r="I106">
        <v>4.6324160000000001</v>
      </c>
      <c r="J106">
        <v>6.6970729999999996</v>
      </c>
      <c r="K106">
        <v>213.7825</v>
      </c>
      <c r="L106">
        <v>1.018832</v>
      </c>
    </row>
    <row r="107" spans="1:12" x14ac:dyDescent="0.2">
      <c r="A107" s="1">
        <v>42956.532824074071</v>
      </c>
      <c r="B107">
        <v>617.93399999999997</v>
      </c>
      <c r="C107">
        <v>35</v>
      </c>
      <c r="D107" t="s">
        <v>34</v>
      </c>
      <c r="E107" t="s">
        <v>6</v>
      </c>
      <c r="F107" t="s">
        <v>33</v>
      </c>
      <c r="G107">
        <v>-4.1100000000000003</v>
      </c>
      <c r="H107">
        <v>1.7279180000000001</v>
      </c>
      <c r="I107">
        <v>0.09</v>
      </c>
      <c r="J107">
        <v>7.723382</v>
      </c>
      <c r="K107">
        <v>214.18729999999999</v>
      </c>
      <c r="L107">
        <v>358.97030000000001</v>
      </c>
    </row>
    <row r="108" spans="1:12" x14ac:dyDescent="0.2">
      <c r="A108" s="1">
        <v>42956.532962962963</v>
      </c>
      <c r="B108">
        <v>629.65639999999996</v>
      </c>
      <c r="C108">
        <v>35</v>
      </c>
      <c r="D108" t="s">
        <v>35</v>
      </c>
      <c r="E108" t="s">
        <v>6</v>
      </c>
      <c r="F108" t="s">
        <v>33</v>
      </c>
      <c r="G108">
        <v>-4.082471</v>
      </c>
      <c r="H108">
        <v>1.7314929999999999</v>
      </c>
      <c r="I108">
        <v>0.18900040000000001</v>
      </c>
      <c r="J108">
        <v>11.186059999999999</v>
      </c>
      <c r="K108">
        <v>23.741900000000001</v>
      </c>
      <c r="L108">
        <v>354.678</v>
      </c>
    </row>
    <row r="109" spans="1:12" x14ac:dyDescent="0.2">
      <c r="A109" s="1">
        <v>42956.533125000002</v>
      </c>
      <c r="B109">
        <v>643.79219999999998</v>
      </c>
      <c r="C109">
        <v>35</v>
      </c>
      <c r="D109" t="s">
        <v>36</v>
      </c>
      <c r="E109" t="s">
        <v>6</v>
      </c>
      <c r="F109" t="s">
        <v>33</v>
      </c>
      <c r="G109">
        <v>-1.7206570000000001</v>
      </c>
      <c r="H109">
        <v>1.7453050000000001</v>
      </c>
      <c r="I109">
        <v>2.5222039999999999</v>
      </c>
      <c r="J109">
        <v>9.3785699999999999</v>
      </c>
      <c r="K109">
        <v>162.07480000000001</v>
      </c>
      <c r="L109">
        <v>357.02210000000002</v>
      </c>
    </row>
    <row r="110" spans="1:12" x14ac:dyDescent="0.2">
      <c r="A110" s="1">
        <v>42956.533148148148</v>
      </c>
      <c r="B110">
        <v>645.02369999999996</v>
      </c>
      <c r="C110">
        <v>36</v>
      </c>
      <c r="D110" t="s">
        <v>34</v>
      </c>
      <c r="E110" t="s">
        <v>4</v>
      </c>
      <c r="F110" t="s">
        <v>6</v>
      </c>
      <c r="G110">
        <v>3.9180000000000001</v>
      </c>
      <c r="H110">
        <v>1.744424</v>
      </c>
      <c r="I110">
        <v>-0.67300000000000004</v>
      </c>
      <c r="J110">
        <v>10.294639999999999</v>
      </c>
      <c r="K110">
        <v>158.0889</v>
      </c>
      <c r="L110">
        <v>356.38889999999998</v>
      </c>
    </row>
    <row r="111" spans="1:12" x14ac:dyDescent="0.2">
      <c r="A111" s="1">
        <v>42956.533229166664</v>
      </c>
      <c r="B111">
        <v>652.1431</v>
      </c>
      <c r="C111">
        <v>36</v>
      </c>
      <c r="D111" t="s">
        <v>35</v>
      </c>
      <c r="E111" t="s">
        <v>4</v>
      </c>
      <c r="F111" t="s">
        <v>6</v>
      </c>
      <c r="G111">
        <v>3.7769020000000002</v>
      </c>
      <c r="H111">
        <v>1.7391000000000001</v>
      </c>
      <c r="I111">
        <v>-0.87493149999999997</v>
      </c>
      <c r="J111">
        <v>10.77008</v>
      </c>
      <c r="K111">
        <v>22.96753</v>
      </c>
      <c r="L111">
        <v>359.39460000000003</v>
      </c>
    </row>
    <row r="112" spans="1:12" x14ac:dyDescent="0.2">
      <c r="A112" s="1">
        <v>42956.533460648148</v>
      </c>
      <c r="B112">
        <v>672.30340000000001</v>
      </c>
      <c r="C112">
        <v>36</v>
      </c>
      <c r="D112" t="s">
        <v>36</v>
      </c>
      <c r="E112" t="s">
        <v>4</v>
      </c>
      <c r="F112" t="s">
        <v>6</v>
      </c>
      <c r="G112">
        <v>0.61073350000000004</v>
      </c>
      <c r="H112">
        <v>1.74749</v>
      </c>
      <c r="I112">
        <v>4.2217929999999999</v>
      </c>
      <c r="J112">
        <v>5.0399070000000004</v>
      </c>
      <c r="K112">
        <v>212.17679999999999</v>
      </c>
      <c r="L112">
        <v>357.7253</v>
      </c>
    </row>
    <row r="113" spans="1:12" x14ac:dyDescent="0.2">
      <c r="A113" s="1">
        <v>42956.533472222225</v>
      </c>
      <c r="B113">
        <v>673.93979999999999</v>
      </c>
      <c r="C113">
        <v>37</v>
      </c>
      <c r="D113" t="s">
        <v>34</v>
      </c>
      <c r="E113" t="s">
        <v>3</v>
      </c>
      <c r="F113" t="s">
        <v>4</v>
      </c>
      <c r="G113">
        <v>3.3730000000000002</v>
      </c>
      <c r="H113">
        <v>1.7451570000000001</v>
      </c>
      <c r="I113">
        <v>1.8169999999999999</v>
      </c>
      <c r="J113">
        <v>6.9570230000000004</v>
      </c>
      <c r="K113">
        <v>211.82599999999999</v>
      </c>
      <c r="L113">
        <v>356.84989999999999</v>
      </c>
    </row>
    <row r="114" spans="1:12" x14ac:dyDescent="0.2">
      <c r="A114" s="1">
        <v>42956.533634259256</v>
      </c>
      <c r="B114">
        <v>686.99630000000002</v>
      </c>
      <c r="C114">
        <v>37</v>
      </c>
      <c r="D114" t="s">
        <v>35</v>
      </c>
      <c r="E114" t="s">
        <v>3</v>
      </c>
      <c r="F114" t="s">
        <v>4</v>
      </c>
      <c r="G114">
        <v>3.4482900000000001</v>
      </c>
      <c r="H114">
        <v>1.74244</v>
      </c>
      <c r="I114">
        <v>2.8338670000000001</v>
      </c>
      <c r="J114">
        <v>2.922094</v>
      </c>
      <c r="K114">
        <v>58.381239999999998</v>
      </c>
      <c r="L114">
        <v>358.58350000000002</v>
      </c>
    </row>
    <row r="115" spans="1:12" x14ac:dyDescent="0.2">
      <c r="A115" s="1">
        <v>42956.533877314818</v>
      </c>
      <c r="B115">
        <v>708.15030000000002</v>
      </c>
      <c r="C115">
        <v>37</v>
      </c>
      <c r="D115" t="s">
        <v>36</v>
      </c>
      <c r="E115" t="s">
        <v>3</v>
      </c>
      <c r="F115" t="s">
        <v>4</v>
      </c>
      <c r="G115">
        <v>7.5986539999999998</v>
      </c>
      <c r="H115">
        <v>1.734647</v>
      </c>
      <c r="I115">
        <v>1.9722630000000001</v>
      </c>
      <c r="J115">
        <v>5.0462490000000004</v>
      </c>
      <c r="K115">
        <v>357.90949999999998</v>
      </c>
      <c r="L115">
        <v>359.51499999999999</v>
      </c>
    </row>
    <row r="116" spans="1:12" x14ac:dyDescent="0.2">
      <c r="A116" s="1">
        <v>42956.533888888887</v>
      </c>
      <c r="B116">
        <v>709.3818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1.7325520000000001</v>
      </c>
      <c r="I116">
        <v>-4.3440000000000003</v>
      </c>
      <c r="J116">
        <v>6.0938350000000003</v>
      </c>
      <c r="K116">
        <v>1.124425</v>
      </c>
      <c r="L116">
        <v>356.1087</v>
      </c>
    </row>
    <row r="117" spans="1:12" x14ac:dyDescent="0.2">
      <c r="A117" s="1">
        <v>42956.53402777778</v>
      </c>
      <c r="B117">
        <v>721.57899999999995</v>
      </c>
      <c r="C117">
        <v>38</v>
      </c>
      <c r="D117" t="s">
        <v>35</v>
      </c>
      <c r="E117" t="s">
        <v>2</v>
      </c>
      <c r="F117" t="s">
        <v>0</v>
      </c>
      <c r="G117">
        <v>3.3209339999999998</v>
      </c>
      <c r="H117">
        <v>1.727975</v>
      </c>
      <c r="I117">
        <v>-4.4629690000000002</v>
      </c>
      <c r="J117">
        <v>8.1908720000000006</v>
      </c>
      <c r="K117">
        <v>182.9528</v>
      </c>
      <c r="L117">
        <v>0.41091820000000001</v>
      </c>
    </row>
    <row r="118" spans="1:12" x14ac:dyDescent="0.2">
      <c r="A118" s="1">
        <v>42956.534328703703</v>
      </c>
      <c r="B118">
        <v>747.928</v>
      </c>
      <c r="C118">
        <v>38</v>
      </c>
      <c r="D118" t="s">
        <v>36</v>
      </c>
      <c r="E118" t="s">
        <v>2</v>
      </c>
      <c r="F118" t="s">
        <v>0</v>
      </c>
      <c r="G118">
        <v>1.052705</v>
      </c>
      <c r="H118">
        <v>1.7439709999999999</v>
      </c>
      <c r="I118">
        <v>-7.7604480000000002</v>
      </c>
      <c r="J118">
        <v>8.367521</v>
      </c>
      <c r="K118">
        <v>258.22680000000003</v>
      </c>
      <c r="L118">
        <v>358.0249</v>
      </c>
    </row>
    <row r="119" spans="1:12" x14ac:dyDescent="0.2">
      <c r="A119" s="1">
        <v>42956.534351851849</v>
      </c>
      <c r="B119">
        <v>749.07510000000002</v>
      </c>
      <c r="C119">
        <v>39</v>
      </c>
      <c r="D119" t="s">
        <v>34</v>
      </c>
      <c r="E119" t="s">
        <v>4</v>
      </c>
      <c r="F119" t="s">
        <v>6</v>
      </c>
      <c r="G119">
        <v>3.9180000000000001</v>
      </c>
      <c r="H119">
        <v>1.744766</v>
      </c>
      <c r="I119">
        <v>-0.67300000000000004</v>
      </c>
      <c r="J119">
        <v>8.4888119999999994</v>
      </c>
      <c r="K119">
        <v>258.89170000000001</v>
      </c>
      <c r="L119">
        <v>357.67590000000001</v>
      </c>
    </row>
    <row r="120" spans="1:12" x14ac:dyDescent="0.2">
      <c r="A120" s="1">
        <v>42956.534456018519</v>
      </c>
      <c r="B120">
        <v>758.08399999999995</v>
      </c>
      <c r="C120">
        <v>39</v>
      </c>
      <c r="D120" t="s">
        <v>35</v>
      </c>
      <c r="E120" t="s">
        <v>4</v>
      </c>
      <c r="F120" t="s">
        <v>6</v>
      </c>
      <c r="G120">
        <v>3.8133149999999998</v>
      </c>
      <c r="H120">
        <v>1.7274890000000001</v>
      </c>
      <c r="I120">
        <v>-0.68387419999999999</v>
      </c>
      <c r="J120">
        <v>10.30321</v>
      </c>
      <c r="K120">
        <v>316.55419999999998</v>
      </c>
      <c r="L120">
        <v>356.95639999999997</v>
      </c>
    </row>
    <row r="121" spans="1:12" x14ac:dyDescent="0.2">
      <c r="A121" s="1">
        <v>42956.534687500003</v>
      </c>
      <c r="B121">
        <v>778.59690000000001</v>
      </c>
      <c r="C121">
        <v>39</v>
      </c>
      <c r="D121" t="s">
        <v>36</v>
      </c>
      <c r="E121" t="s">
        <v>4</v>
      </c>
      <c r="F121" t="s">
        <v>6</v>
      </c>
      <c r="G121">
        <v>0.49106959999999999</v>
      </c>
      <c r="H121">
        <v>1.742872</v>
      </c>
      <c r="I121">
        <v>3.6410360000000002</v>
      </c>
      <c r="J121">
        <v>3.6182979999999998</v>
      </c>
      <c r="K121">
        <v>160.28129999999999</v>
      </c>
      <c r="L121">
        <v>359.41910000000001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(40)'!$C$2:$L$121,3,0)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(40)'!$C$2:$L$121,5,1)</f>
        <v>-4.8100990000000001</v>
      </c>
      <c r="G2" s="3">
        <f>VLOOKUP($A2,'Summary Data (40)'!$C$2:$L$121,6,1)</f>
        <v>1.7389749999999999</v>
      </c>
      <c r="H2" s="3">
        <f>VLOOKUP($A2,'Summary Data (40)'!$C$2:$L$121,7,1)</f>
        <v>4.7822810000000002</v>
      </c>
      <c r="I2" s="3" t="str">
        <f>VLOOKUP($A2,'Summary Data (40)'!$C$2:$L$121,4,0)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9.7406152991873149</v>
      </c>
      <c r="N2" s="3">
        <f t="shared" ref="N2:N41" si="1">ABS(SQRT((F2-C2)^2+(H2-E2)^2))</f>
        <v>12.353660568785351</v>
      </c>
      <c r="O2" s="3">
        <f t="shared" ref="O2:O41" si="2">ABS(SQRT((J2-C2)^2+(L2-E2)^2))</f>
        <v>4.3718971854333439</v>
      </c>
      <c r="P2" s="3">
        <f t="shared" ref="P2:P41" si="3">(N2-O2)</f>
        <v>7.981763383352007</v>
      </c>
      <c r="Q2" s="5">
        <f t="shared" ref="Q2:Q41" si="4">P2/O2</f>
        <v>1.8256978709257665</v>
      </c>
      <c r="R2" s="3">
        <f t="shared" ref="R2:R41" si="5">ATAN2(J2-C2,L2-E2)*180/PI()</f>
        <v>177.02371934116897</v>
      </c>
      <c r="S2" s="3">
        <f t="shared" ref="S2:S41" si="6">ATAN2(F2-C2,H2-E2)*180/PI()</f>
        <v>132.37485857091988</v>
      </c>
      <c r="T2" s="3">
        <f t="shared" ref="T2:T41" si="7">IF(ABS(R2-S2)&gt;180,360-ABS(R2-S2),ABS(R2-S2))</f>
        <v>44.648860770249087</v>
      </c>
      <c r="U2" s="3">
        <f>VLOOKUP($A2,'Summary Data (40)'!$C$2:$N$121,11,0)</f>
        <v>0</v>
      </c>
      <c r="V2" s="3">
        <f>VLOOKUP($A2,'Summary Data (40)'!$C$2:$N$121,12,1)</f>
        <v>0</v>
      </c>
      <c r="W2" s="3">
        <f>VLOOKUP($A2,'Summary Data (40)'!$C$2:$N$121,11,1)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(40)'!$C$2:$L$121,3,0)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(40)'!$C$2:$L$121,5,1)</f>
        <v>-1.3767689999999999</v>
      </c>
      <c r="G3" s="3">
        <f>VLOOKUP($A3,'Summary Data (40)'!$C$2:$L$121,6,1)</f>
        <v>1.738707</v>
      </c>
      <c r="H3" s="3">
        <f>VLOOKUP($A3,'Summary Data (40)'!$C$2:$L$121,7,1)</f>
        <v>-4.7654810000000003</v>
      </c>
      <c r="I3" s="3" t="str">
        <f>VLOOKUP($A3,'Summary Data (40)'!$C$2:$L$121,4,0)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4.91088940220832</v>
      </c>
      <c r="N3" s="3">
        <f t="shared" si="1"/>
        <v>7.6178823262585258</v>
      </c>
      <c r="O3" s="3">
        <f t="shared" si="2"/>
        <v>7.8871175977032326</v>
      </c>
      <c r="P3" s="3">
        <f t="shared" si="3"/>
        <v>-0.26923527144470683</v>
      </c>
      <c r="Q3" s="5">
        <f t="shared" si="4"/>
        <v>-3.4136079259564918E-2</v>
      </c>
      <c r="R3" s="3">
        <f t="shared" si="5"/>
        <v>-63.65586590726528</v>
      </c>
      <c r="S3" s="3">
        <f t="shared" si="6"/>
        <v>-100.53457843126722</v>
      </c>
      <c r="T3" s="3">
        <f t="shared" si="7"/>
        <v>36.878712524001941</v>
      </c>
      <c r="U3" s="3">
        <f>VLOOKUP($A3,'Summary Data (40)'!$C$2:$N$121,11,0)</f>
        <v>0</v>
      </c>
      <c r="V3" s="3">
        <f>VLOOKUP($A3,'Summary Data (40)'!$C$2:$N$121,12,1)</f>
        <v>0</v>
      </c>
      <c r="W3" s="3">
        <f>VLOOKUP($A3,'Summary Data (40)'!$C$2:$N$121,11,1)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(40)'!$C$2:$L$121,3,0)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(40)'!$C$2:$L$121,5,1)</f>
        <v>4.7494430000000003</v>
      </c>
      <c r="G4" s="3">
        <f>VLOOKUP($A4,'Summary Data (40)'!$C$2:$L$121,6,1)</f>
        <v>1.7329060000000001</v>
      </c>
      <c r="H4" s="3">
        <f>VLOOKUP($A4,'Summary Data (40)'!$C$2:$L$121,7,1)</f>
        <v>-1.1672959999999999</v>
      </c>
      <c r="I4" s="3" t="str">
        <f>VLOOKUP($A4,'Summary Data (40)'!$C$2:$L$121,4,0)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3.2864293614597893</v>
      </c>
      <c r="N4" s="3">
        <f t="shared" si="1"/>
        <v>8.7337056611649686</v>
      </c>
      <c r="O4" s="3">
        <f t="shared" si="2"/>
        <v>8.0292617967033557</v>
      </c>
      <c r="P4" s="3">
        <f t="shared" si="3"/>
        <v>0.70444386446161289</v>
      </c>
      <c r="Q4" s="5">
        <f t="shared" si="4"/>
        <v>8.7734574148627537E-2</v>
      </c>
      <c r="R4" s="3">
        <f t="shared" si="5"/>
        <v>23.666151625811782</v>
      </c>
      <c r="S4" s="3">
        <f t="shared" si="6"/>
        <v>1.5661662547291655</v>
      </c>
      <c r="T4" s="3">
        <f t="shared" si="7"/>
        <v>22.099985371082617</v>
      </c>
      <c r="U4" s="3">
        <f>VLOOKUP($A4,'Summary Data (40)'!$C$2:$N$121,11,0)</f>
        <v>0</v>
      </c>
      <c r="V4" s="3">
        <f>VLOOKUP($A4,'Summary Data (40)'!$C$2:$N$121,12,1)</f>
        <v>0</v>
      </c>
      <c r="W4" s="3">
        <f>VLOOKUP($A4,'Summary Data (40)'!$C$2:$N$121,11,1)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(40)'!$C$2:$L$121,3,0)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(40)'!$C$2:$L$121,5,1)</f>
        <v>2.410056</v>
      </c>
      <c r="G5" s="3">
        <f>VLOOKUP($A5,'Summary Data (40)'!$C$2:$L$121,6,1)</f>
        <v>1.7378359999999999</v>
      </c>
      <c r="H5" s="3">
        <f>VLOOKUP($A5,'Summary Data (40)'!$C$2:$L$121,7,1)</f>
        <v>5.206334</v>
      </c>
      <c r="I5" s="3" t="str">
        <f>VLOOKUP($A5,'Summary Data (40)'!$C$2:$L$121,4,0)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6.5760866760324861</v>
      </c>
      <c r="N5" s="3">
        <f t="shared" si="1"/>
        <v>9.8768680257808441</v>
      </c>
      <c r="O5" s="3">
        <f t="shared" si="2"/>
        <v>8.8659173242253964</v>
      </c>
      <c r="P5" s="3">
        <f t="shared" si="3"/>
        <v>1.0109507015554478</v>
      </c>
      <c r="Q5" s="5">
        <f t="shared" si="4"/>
        <v>0.11402663306966639</v>
      </c>
      <c r="R5" s="3">
        <f t="shared" si="5"/>
        <v>111.35858600069317</v>
      </c>
      <c r="S5" s="3">
        <f t="shared" si="6"/>
        <v>70.726986981527688</v>
      </c>
      <c r="T5" s="3">
        <f t="shared" si="7"/>
        <v>40.631599019165478</v>
      </c>
      <c r="U5" s="3">
        <f>VLOOKUP($A5,'Summary Data (40)'!$C$2:$N$121,11,0)</f>
        <v>0</v>
      </c>
      <c r="V5" s="3">
        <f>VLOOKUP($A5,'Summary Data (40)'!$C$2:$N$121,12,1)</f>
        <v>0</v>
      </c>
      <c r="W5" s="3">
        <f>VLOOKUP($A5,'Summary Data (40)'!$C$2:$N$121,11,1)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(40)'!$C$2:$L$121,3,0)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(40)'!$C$2:$L$121,5,1)</f>
        <v>7.2471160000000001</v>
      </c>
      <c r="G6" s="3">
        <f>VLOOKUP($A6,'Summary Data (40)'!$C$2:$L$121,6,1)</f>
        <v>1.7369399999999999</v>
      </c>
      <c r="H6" s="3">
        <f>VLOOKUP($A6,'Summary Data (40)'!$C$2:$L$121,7,1)</f>
        <v>1.964631</v>
      </c>
      <c r="I6" s="3" t="str">
        <f>VLOOKUP($A6,'Summary Data (40)'!$C$2:$L$121,4,0)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4.2473651401329979</v>
      </c>
      <c r="N6" s="3">
        <f t="shared" si="1"/>
        <v>3.8769278679925168</v>
      </c>
      <c r="O6" s="3">
        <f t="shared" si="2"/>
        <v>2.5489458605470614</v>
      </c>
      <c r="P6" s="3">
        <f t="shared" si="3"/>
        <v>1.3279820074454554</v>
      </c>
      <c r="Q6" s="5">
        <f t="shared" si="4"/>
        <v>0.52099262993386619</v>
      </c>
      <c r="R6" s="3">
        <f t="shared" si="5"/>
        <v>-77.654050540796021</v>
      </c>
      <c r="S6" s="3">
        <f t="shared" si="6"/>
        <v>2.1823152436908262</v>
      </c>
      <c r="T6" s="3">
        <f t="shared" si="7"/>
        <v>79.836365784486844</v>
      </c>
      <c r="U6" s="3">
        <f>VLOOKUP($A6,'Summary Data (40)'!$C$2:$N$121,11,0)</f>
        <v>0</v>
      </c>
      <c r="V6" s="3">
        <f>VLOOKUP($A6,'Summary Data (40)'!$C$2:$N$121,12,1)</f>
        <v>0</v>
      </c>
      <c r="W6" s="3">
        <f>VLOOKUP($A6,'Summary Data (40)'!$C$2:$N$121,11,1)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(40)'!$C$2:$L$121,3,0)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(40)'!$C$2:$L$121,5,1)</f>
        <v>-3.209095</v>
      </c>
      <c r="G7" s="3">
        <f>VLOOKUP($A7,'Summary Data (40)'!$C$2:$L$121,6,1)</f>
        <v>1.738273</v>
      </c>
      <c r="H7" s="3">
        <f>VLOOKUP($A7,'Summary Data (40)'!$C$2:$L$121,7,1)</f>
        <v>3.5003959999999998</v>
      </c>
      <c r="I7" s="3" t="str">
        <f>VLOOKUP($A7,'Summary Data (40)'!$C$2:$L$121,4,0)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7.9743370282325658</v>
      </c>
      <c r="N7" s="3">
        <f t="shared" si="1"/>
        <v>10.332543315362438</v>
      </c>
      <c r="O7" s="3">
        <f t="shared" si="2"/>
        <v>4.3718971854333439</v>
      </c>
      <c r="P7" s="3">
        <f t="shared" si="3"/>
        <v>5.9606461299290938</v>
      </c>
      <c r="Q7" s="5">
        <f t="shared" si="4"/>
        <v>1.3634003447723515</v>
      </c>
      <c r="R7" s="3">
        <f t="shared" si="5"/>
        <v>177.02371934116897</v>
      </c>
      <c r="S7" s="3">
        <f t="shared" si="6"/>
        <v>130.60688159646909</v>
      </c>
      <c r="T7" s="3">
        <f t="shared" si="7"/>
        <v>46.416837744699876</v>
      </c>
      <c r="U7" s="3">
        <f>VLOOKUP($A7,'Summary Data (40)'!$C$2:$N$121,11,0)</f>
        <v>0</v>
      </c>
      <c r="V7" s="3">
        <f>VLOOKUP($A7,'Summary Data (40)'!$C$2:$N$121,12,1)</f>
        <v>0</v>
      </c>
      <c r="W7" s="3">
        <f>VLOOKUP($A7,'Summary Data (40)'!$C$2:$N$121,11,1)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(40)'!$C$2:$L$121,3,0)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(40)'!$C$2:$L$121,5,1)</f>
        <v>3.1097790000000001</v>
      </c>
      <c r="G8" s="3">
        <f>VLOOKUP($A8,'Summary Data (40)'!$C$2:$L$121,6,1)</f>
        <v>1.7246649999999999</v>
      </c>
      <c r="H8" s="3">
        <f>VLOOKUP($A8,'Summary Data (40)'!$C$2:$L$121,7,1)</f>
        <v>-2.044</v>
      </c>
      <c r="I8" s="3" t="str">
        <f>VLOOKUP($A8,'Summary Data (40)'!$C$2:$L$121,4,0)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7.1194234897806856</v>
      </c>
      <c r="N8" s="3">
        <f t="shared" si="1"/>
        <v>7.5285566218791908</v>
      </c>
      <c r="O8" s="3">
        <f t="shared" si="2"/>
        <v>1.5015515309172709</v>
      </c>
      <c r="P8" s="3">
        <f t="shared" si="3"/>
        <v>6.0270050909619197</v>
      </c>
      <c r="Q8" s="5">
        <f t="shared" si="4"/>
        <v>4.0138516506856945</v>
      </c>
      <c r="R8" s="3">
        <f t="shared" si="5"/>
        <v>-85.071579131103505</v>
      </c>
      <c r="S8" s="3">
        <f t="shared" si="6"/>
        <v>-16.466462929210049</v>
      </c>
      <c r="T8" s="3">
        <f t="shared" si="7"/>
        <v>68.605116201893452</v>
      </c>
      <c r="U8" s="3">
        <f>VLOOKUP($A8,'Summary Data (40)'!$C$2:$N$121,11,0)</f>
        <v>0</v>
      </c>
      <c r="V8" s="3">
        <f>VLOOKUP($A8,'Summary Data (40)'!$C$2:$N$121,12,1)</f>
        <v>0</v>
      </c>
      <c r="W8" s="3">
        <f>VLOOKUP($A8,'Summary Data (40)'!$C$2:$N$121,11,1)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(40)'!$C$2:$L$121,3,0)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(40)'!$C$2:$L$121,5,1)</f>
        <v>-0.36347960000000001</v>
      </c>
      <c r="G9" s="3">
        <f>VLOOKUP($A9,'Summary Data (40)'!$C$2:$L$121,6,1)</f>
        <v>1.733349</v>
      </c>
      <c r="H9" s="3">
        <f>VLOOKUP($A9,'Summary Data (40)'!$C$2:$L$121,7,1)</f>
        <v>-0.50879810000000003</v>
      </c>
      <c r="I9" s="3" t="str">
        <f>VLOOKUP($A9,'Summary Data (40)'!$C$2:$L$121,4,0)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5.9511692647226697</v>
      </c>
      <c r="N9" s="3">
        <f t="shared" si="1"/>
        <v>3.6408547143191212</v>
      </c>
      <c r="O9" s="3">
        <f t="shared" si="2"/>
        <v>8.8659173242253964</v>
      </c>
      <c r="P9" s="3">
        <f t="shared" si="3"/>
        <v>-5.2250626099062751</v>
      </c>
      <c r="Q9" s="5">
        <f t="shared" si="4"/>
        <v>-0.58934258225363978</v>
      </c>
      <c r="R9" s="3">
        <f t="shared" si="5"/>
        <v>111.35858600069317</v>
      </c>
      <c r="S9" s="3">
        <f t="shared" si="6"/>
        <v>82.320704510691442</v>
      </c>
      <c r="T9" s="3">
        <f t="shared" si="7"/>
        <v>29.037881490001723</v>
      </c>
      <c r="U9" s="3">
        <f>VLOOKUP($A9,'Summary Data (40)'!$C$2:$N$121,11,0)</f>
        <v>0</v>
      </c>
      <c r="V9" s="3">
        <f>VLOOKUP($A9,'Summary Data (40)'!$C$2:$N$121,12,1)</f>
        <v>0</v>
      </c>
      <c r="W9" s="3">
        <f>VLOOKUP($A9,'Summary Data (40)'!$C$2:$N$121,11,1)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(40)'!$C$2:$L$121,3,0)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(40)'!$C$2:$L$121,5,1)</f>
        <v>2.1417069999999998</v>
      </c>
      <c r="G10" s="3">
        <f>VLOOKUP($A10,'Summary Data (40)'!$C$2:$L$121,6,1)</f>
        <v>1.7443169999999999</v>
      </c>
      <c r="H10" s="3">
        <f>VLOOKUP($A10,'Summary Data (40)'!$C$2:$L$121,7,1)</f>
        <v>2.288449</v>
      </c>
      <c r="I10" s="3" t="str">
        <f>VLOOKUP($A10,'Summary Data (40)'!$C$2:$L$121,4,0)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6.773334554519657</v>
      </c>
      <c r="N10" s="3">
        <f t="shared" si="1"/>
        <v>2.1698697941236014</v>
      </c>
      <c r="O10" s="3">
        <f t="shared" si="2"/>
        <v>7.8871175977032326</v>
      </c>
      <c r="P10" s="3">
        <f t="shared" si="3"/>
        <v>-5.7172478035796317</v>
      </c>
      <c r="Q10" s="5">
        <f t="shared" si="4"/>
        <v>-0.72488431074547721</v>
      </c>
      <c r="R10" s="3">
        <f t="shared" si="5"/>
        <v>-63.65586590726528</v>
      </c>
      <c r="S10" s="3">
        <f t="shared" si="6"/>
        <v>-11.579462983311986</v>
      </c>
      <c r="T10" s="3">
        <f t="shared" si="7"/>
        <v>52.076402923953296</v>
      </c>
      <c r="U10" s="3">
        <f>VLOOKUP($A10,'Summary Data (40)'!$C$2:$N$121,11,0)</f>
        <v>0</v>
      </c>
      <c r="V10" s="3">
        <f>VLOOKUP($A10,'Summary Data (40)'!$C$2:$N$121,12,1)</f>
        <v>0</v>
      </c>
      <c r="W10" s="3">
        <f>VLOOKUP($A10,'Summary Data (40)'!$C$2:$N$121,11,1)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(40)'!$C$2:$L$121,3,0)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(40)'!$C$2:$L$121,5,1)</f>
        <v>2.4791050000000001</v>
      </c>
      <c r="G11" s="3">
        <f>VLOOKUP($A11,'Summary Data (40)'!$C$2:$L$121,6,1)</f>
        <v>1.75061</v>
      </c>
      <c r="H11" s="3">
        <f>VLOOKUP($A11,'Summary Data (40)'!$C$2:$L$121,7,1)</f>
        <v>-3.5606260000000001</v>
      </c>
      <c r="I11" s="3" t="str">
        <f>VLOOKUP($A11,'Summary Data (40)'!$C$2:$L$121,4,0)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6.8099463882545361</v>
      </c>
      <c r="N11" s="3">
        <f t="shared" si="1"/>
        <v>7.5328198500230306</v>
      </c>
      <c r="O11" s="3">
        <f t="shared" si="2"/>
        <v>1.5015515309172709</v>
      </c>
      <c r="P11" s="3">
        <f t="shared" si="3"/>
        <v>6.0312683191057594</v>
      </c>
      <c r="Q11" s="5">
        <f t="shared" si="4"/>
        <v>4.0166908660279983</v>
      </c>
      <c r="R11" s="3">
        <f t="shared" si="5"/>
        <v>-85.071579131103505</v>
      </c>
      <c r="S11" s="3">
        <f t="shared" si="6"/>
        <v>-28.988194871701126</v>
      </c>
      <c r="T11" s="3">
        <f t="shared" si="7"/>
        <v>56.083384259402379</v>
      </c>
      <c r="U11" s="3">
        <f>VLOOKUP($A11,'Summary Data (40)'!$C$2:$N$121,11,0)</f>
        <v>0</v>
      </c>
      <c r="V11" s="3">
        <f>VLOOKUP($A11,'Summary Data (40)'!$C$2:$N$121,12,1)</f>
        <v>0</v>
      </c>
      <c r="W11" s="3">
        <f>VLOOKUP($A11,'Summary Data (40)'!$C$2:$N$121,11,1)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(40)'!$C$2:$L$121,3,0)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(40)'!$C$2:$L$121,5,1)</f>
        <v>1.3022629999999999</v>
      </c>
      <c r="G12" s="3">
        <f>VLOOKUP($A12,'Summary Data (40)'!$C$2:$L$121,6,1)</f>
        <v>1.7351810000000001</v>
      </c>
      <c r="H12" s="3">
        <f>VLOOKUP($A12,'Summary Data (40)'!$C$2:$L$121,7,1)</f>
        <v>-3.522459</v>
      </c>
      <c r="I12" s="3" t="str">
        <f>VLOOKUP($A12,'Summary Data (40)'!$C$2:$L$121,4,0)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6.3775169575509549</v>
      </c>
      <c r="N12" s="3">
        <f t="shared" si="1"/>
        <v>9.363293726133449</v>
      </c>
      <c r="O12" s="3">
        <f t="shared" si="2"/>
        <v>4.3329067610554466</v>
      </c>
      <c r="P12" s="3">
        <f t="shared" si="3"/>
        <v>5.0303869650780024</v>
      </c>
      <c r="Q12" s="5">
        <f t="shared" si="4"/>
        <v>1.160972816283879</v>
      </c>
      <c r="R12" s="3">
        <f t="shared" si="5"/>
        <v>-19.074748100261683</v>
      </c>
      <c r="S12" s="3">
        <f t="shared" si="6"/>
        <v>-54.920042587769828</v>
      </c>
      <c r="T12" s="3">
        <f t="shared" si="7"/>
        <v>35.845294487508141</v>
      </c>
      <c r="U12" s="3">
        <f>VLOOKUP($A12,'Summary Data (40)'!$C$2:$N$121,11,0)</f>
        <v>0</v>
      </c>
      <c r="V12" s="3">
        <f>VLOOKUP($A12,'Summary Data (40)'!$C$2:$N$121,12,1)</f>
        <v>0</v>
      </c>
      <c r="W12" s="3">
        <f>VLOOKUP($A12,'Summary Data (40)'!$C$2:$N$121,11,1)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(40)'!$C$2:$L$121,3,0)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(40)'!$C$2:$L$121,5,1)</f>
        <v>-1.9515960000000001</v>
      </c>
      <c r="G13" s="3">
        <f>VLOOKUP($A13,'Summary Data (40)'!$C$2:$L$121,6,1)</f>
        <v>1.741862</v>
      </c>
      <c r="H13" s="3">
        <f>VLOOKUP($A13,'Summary Data (40)'!$C$2:$L$121,7,1)</f>
        <v>3.793355</v>
      </c>
      <c r="I13" s="3" t="str">
        <f>VLOOKUP($A13,'Summary Data (40)'!$C$2:$L$121,4,0)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7.9866908024062759</v>
      </c>
      <c r="N13" s="3">
        <f t="shared" si="1"/>
        <v>9.8036295531420912</v>
      </c>
      <c r="O13" s="3">
        <f t="shared" si="2"/>
        <v>4.3718971854333439</v>
      </c>
      <c r="P13" s="3">
        <f t="shared" si="3"/>
        <v>5.4317323677087472</v>
      </c>
      <c r="Q13" s="5">
        <f t="shared" si="4"/>
        <v>1.242419969482963</v>
      </c>
      <c r="R13" s="3">
        <f t="shared" si="5"/>
        <v>177.02371934116897</v>
      </c>
      <c r="S13" s="3">
        <f t="shared" si="6"/>
        <v>123.89767335896744</v>
      </c>
      <c r="T13" s="3">
        <f t="shared" si="7"/>
        <v>53.126045982201532</v>
      </c>
      <c r="U13" s="3">
        <f>VLOOKUP($A13,'Summary Data (40)'!$C$2:$N$121,11,0)</f>
        <v>0</v>
      </c>
      <c r="V13" s="3">
        <f>VLOOKUP($A13,'Summary Data (40)'!$C$2:$N$121,12,1)</f>
        <v>0</v>
      </c>
      <c r="W13" s="3">
        <f>VLOOKUP($A13,'Summary Data (40)'!$C$2:$N$121,11,1)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(40)'!$C$2:$L$121,3,0)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(40)'!$C$2:$L$121,5,1)</f>
        <v>5.3032729999999999</v>
      </c>
      <c r="G14" s="3">
        <f>VLOOKUP($A14,'Summary Data (40)'!$C$2:$L$121,6,1)</f>
        <v>1.7395860000000001</v>
      </c>
      <c r="H14" s="3">
        <f>VLOOKUP($A14,'Summary Data (40)'!$C$2:$L$121,7,1)</f>
        <v>-4.0669940000000002</v>
      </c>
      <c r="I14" s="3" t="str">
        <f>VLOOKUP($A14,'Summary Data (40)'!$C$2:$L$121,4,0)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6.1925228499025335</v>
      </c>
      <c r="N14" s="3">
        <f t="shared" si="1"/>
        <v>9.6580854317284324</v>
      </c>
      <c r="O14" s="3">
        <f t="shared" si="2"/>
        <v>8.0292617967033557</v>
      </c>
      <c r="P14" s="3">
        <f t="shared" si="3"/>
        <v>1.6288236350250767</v>
      </c>
      <c r="Q14" s="5">
        <f t="shared" si="4"/>
        <v>0.20286094491200138</v>
      </c>
      <c r="R14" s="3">
        <f t="shared" si="5"/>
        <v>23.666151625811782</v>
      </c>
      <c r="S14" s="3">
        <f t="shared" si="6"/>
        <v>-15.992994676529683</v>
      </c>
      <c r="T14" s="3">
        <f t="shared" si="7"/>
        <v>39.659146302341469</v>
      </c>
      <c r="U14" s="3">
        <f>VLOOKUP($A14,'Summary Data (40)'!$C$2:$N$121,11,0)</f>
        <v>0</v>
      </c>
      <c r="V14" s="3">
        <f>VLOOKUP($A14,'Summary Data (40)'!$C$2:$N$121,12,1)</f>
        <v>0</v>
      </c>
      <c r="W14" s="3">
        <f>VLOOKUP($A14,'Summary Data (40)'!$C$2:$N$121,11,1)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(40)'!$C$2:$L$121,3,0)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(40)'!$C$2:$L$121,5,1)</f>
        <v>2.9052920000000002</v>
      </c>
      <c r="G15" s="3">
        <f>VLOOKUP($A15,'Summary Data (40)'!$C$2:$L$121,6,1)</f>
        <v>1.733428</v>
      </c>
      <c r="H15" s="3">
        <f>VLOOKUP($A15,'Summary Data (40)'!$C$2:$L$121,7,1)</f>
        <v>-1.5963160000000001</v>
      </c>
      <c r="I15" s="3" t="str">
        <f>VLOOKUP($A15,'Summary Data (40)'!$C$2:$L$121,4,0)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6.8889213734168866</v>
      </c>
      <c r="N15" s="3">
        <f t="shared" si="1"/>
        <v>7.2151218629431346</v>
      </c>
      <c r="O15" s="3">
        <f t="shared" si="2"/>
        <v>1.5015515309172709</v>
      </c>
      <c r="P15" s="3">
        <f t="shared" si="3"/>
        <v>5.7135703320258635</v>
      </c>
      <c r="Q15" s="5">
        <f t="shared" si="4"/>
        <v>3.805111056385488</v>
      </c>
      <c r="R15" s="3">
        <f t="shared" si="5"/>
        <v>-85.071579131103505</v>
      </c>
      <c r="S15" s="3">
        <f t="shared" si="6"/>
        <v>-13.516164531782675</v>
      </c>
      <c r="T15" s="3">
        <f t="shared" si="7"/>
        <v>71.555414599320827</v>
      </c>
      <c r="U15" s="3">
        <f>VLOOKUP($A15,'Summary Data (40)'!$C$2:$N$121,11,0)</f>
        <v>0</v>
      </c>
      <c r="V15" s="3">
        <f>VLOOKUP($A15,'Summary Data (40)'!$C$2:$N$121,12,1)</f>
        <v>0</v>
      </c>
      <c r="W15" s="3">
        <f>VLOOKUP($A15,'Summary Data (40)'!$C$2:$N$121,11,1)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(40)'!$C$2:$L$121,3,0)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(40)'!$C$2:$L$121,5,1)</f>
        <v>-1.014583</v>
      </c>
      <c r="G16" s="3">
        <f>VLOOKUP($A16,'Summary Data (40)'!$C$2:$L$121,6,1)</f>
        <v>1.7415909999999999</v>
      </c>
      <c r="H16" s="3">
        <f>VLOOKUP($A16,'Summary Data (40)'!$C$2:$L$121,7,1)</f>
        <v>-2.716272</v>
      </c>
      <c r="I16" s="3" t="str">
        <f>VLOOKUP($A16,'Summary Data (40)'!$C$2:$L$121,4,0)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5.5370263457810101</v>
      </c>
      <c r="N16" s="3">
        <f t="shared" si="1"/>
        <v>7.5099345728090734</v>
      </c>
      <c r="O16" s="3">
        <f t="shared" si="2"/>
        <v>4.3329067610554466</v>
      </c>
      <c r="P16" s="3">
        <f t="shared" si="3"/>
        <v>3.1770278117536268</v>
      </c>
      <c r="Q16" s="5">
        <f t="shared" si="4"/>
        <v>0.73323244347398309</v>
      </c>
      <c r="R16" s="3">
        <f t="shared" si="5"/>
        <v>-19.074748100261683</v>
      </c>
      <c r="S16" s="3">
        <f t="shared" si="6"/>
        <v>-65.91770105132295</v>
      </c>
      <c r="T16" s="3">
        <f t="shared" si="7"/>
        <v>46.842952951061264</v>
      </c>
      <c r="U16" s="3">
        <f>VLOOKUP($A16,'Summary Data (40)'!$C$2:$N$121,11,0)</f>
        <v>0</v>
      </c>
      <c r="V16" s="3">
        <f>VLOOKUP($A16,'Summary Data (40)'!$C$2:$N$121,12,1)</f>
        <v>0</v>
      </c>
      <c r="W16" s="3">
        <f>VLOOKUP($A16,'Summary Data (40)'!$C$2:$N$121,11,1)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(40)'!$C$2:$L$121,3,0)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(40)'!$C$2:$L$121,5,1)</f>
        <v>-2.4540899999999999</v>
      </c>
      <c r="G17" s="3">
        <f>VLOOKUP($A17,'Summary Data (40)'!$C$2:$L$121,6,1)</f>
        <v>1.7415400000000001</v>
      </c>
      <c r="H17" s="3">
        <f>VLOOKUP($A17,'Summary Data (40)'!$C$2:$L$121,7,1)</f>
        <v>2.1082260000000002</v>
      </c>
      <c r="I17" s="3" t="str">
        <f>VLOOKUP($A17,'Summary Data (40)'!$C$2:$L$121,4,0)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2.6106079972251681</v>
      </c>
      <c r="N17" s="3">
        <f t="shared" si="1"/>
        <v>6.9526073548832033</v>
      </c>
      <c r="O17" s="3">
        <f t="shared" si="2"/>
        <v>8.0641771433916301</v>
      </c>
      <c r="P17" s="3">
        <f t="shared" si="3"/>
        <v>-1.1115697885084268</v>
      </c>
      <c r="Q17" s="5">
        <f t="shared" si="4"/>
        <v>-0.13784044779067478</v>
      </c>
      <c r="R17" s="3">
        <f t="shared" si="5"/>
        <v>174.57078263739461</v>
      </c>
      <c r="S17" s="3">
        <f t="shared" si="6"/>
        <v>156.42017553316208</v>
      </c>
      <c r="T17" s="3">
        <f t="shared" si="7"/>
        <v>18.150607104232535</v>
      </c>
      <c r="U17" s="3">
        <f>VLOOKUP($A17,'Summary Data (40)'!$C$2:$N$121,11,0)</f>
        <v>0</v>
      </c>
      <c r="V17" s="3">
        <f>VLOOKUP($A17,'Summary Data (40)'!$C$2:$N$121,12,1)</f>
        <v>0</v>
      </c>
      <c r="W17" s="3">
        <f>VLOOKUP($A17,'Summary Data (40)'!$C$2:$N$121,11,1)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(40)'!$C$2:$L$121,3,0)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(40)'!$C$2:$L$121,5,1)</f>
        <v>-1.414253</v>
      </c>
      <c r="G18" s="3">
        <f>VLOOKUP($A18,'Summary Data (40)'!$C$2:$L$121,6,1)</f>
        <v>1.7406349999999999</v>
      </c>
      <c r="H18" s="3">
        <f>VLOOKUP($A18,'Summary Data (40)'!$C$2:$L$121,7,1)</f>
        <v>0.89411249999999998</v>
      </c>
      <c r="I18" s="3" t="str">
        <f>VLOOKUP($A18,'Summary Data (40)'!$C$2:$L$121,4,0)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5.5577660659355974</v>
      </c>
      <c r="N18" s="3">
        <f t="shared" si="1"/>
        <v>4.8753987143273987</v>
      </c>
      <c r="O18" s="3">
        <f t="shared" si="2"/>
        <v>2.5489458605470614</v>
      </c>
      <c r="P18" s="3">
        <f t="shared" si="3"/>
        <v>2.3264528537803373</v>
      </c>
      <c r="Q18" s="5">
        <f t="shared" si="4"/>
        <v>0.91271175656945025</v>
      </c>
      <c r="R18" s="3">
        <f t="shared" si="5"/>
        <v>-77.654050540796021</v>
      </c>
      <c r="S18" s="3">
        <f t="shared" si="6"/>
        <v>-169.08836908847852</v>
      </c>
      <c r="T18" s="3">
        <f t="shared" si="7"/>
        <v>91.434318547682494</v>
      </c>
      <c r="U18" s="3">
        <f>VLOOKUP($A18,'Summary Data (40)'!$C$2:$N$121,11,0)</f>
        <v>0</v>
      </c>
      <c r="V18" s="3">
        <f>VLOOKUP($A18,'Summary Data (40)'!$C$2:$N$121,12,1)</f>
        <v>0</v>
      </c>
      <c r="W18" s="3">
        <f>VLOOKUP($A18,'Summary Data (40)'!$C$2:$N$121,11,1)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(40)'!$C$2:$L$121,3,0)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(40)'!$C$2:$L$121,5,1)</f>
        <v>6.4262220000000001</v>
      </c>
      <c r="G19" s="3">
        <f>VLOOKUP($A19,'Summary Data (40)'!$C$2:$L$121,6,1)</f>
        <v>1.7386159999999999</v>
      </c>
      <c r="H19" s="3">
        <f>VLOOKUP($A19,'Summary Data (40)'!$C$2:$L$121,7,1)</f>
        <v>-2.3502269999999998</v>
      </c>
      <c r="I19" s="3" t="str">
        <f>VLOOKUP($A19,'Summary Data (40)'!$C$2:$L$121,4,0)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5.1660376935145367</v>
      </c>
      <c r="N19" s="3">
        <f t="shared" si="1"/>
        <v>10.449968152334868</v>
      </c>
      <c r="O19" s="3">
        <f t="shared" si="2"/>
        <v>8.0292617967033557</v>
      </c>
      <c r="P19" s="3">
        <f t="shared" si="3"/>
        <v>2.4207063556315127</v>
      </c>
      <c r="Q19" s="5">
        <f t="shared" si="4"/>
        <v>0.30148554336905581</v>
      </c>
      <c r="R19" s="3">
        <f t="shared" si="5"/>
        <v>23.666151625811782</v>
      </c>
      <c r="S19" s="3">
        <f t="shared" si="6"/>
        <v>-5.1841411129702211</v>
      </c>
      <c r="T19" s="3">
        <f t="shared" si="7"/>
        <v>28.850292738782002</v>
      </c>
      <c r="U19" s="3">
        <f>VLOOKUP($A19,'Summary Data (40)'!$C$2:$N$121,11,0)</f>
        <v>0</v>
      </c>
      <c r="V19" s="3">
        <f>VLOOKUP($A19,'Summary Data (40)'!$C$2:$N$121,12,1)</f>
        <v>0</v>
      </c>
      <c r="W19" s="3">
        <f>VLOOKUP($A19,'Summary Data (40)'!$C$2:$N$121,11,1)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(40)'!$C$2:$L$121,3,0)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(40)'!$C$2:$L$121,5,1)</f>
        <v>-0.43777470000000002</v>
      </c>
      <c r="G20" s="3">
        <f>VLOOKUP($A20,'Summary Data (40)'!$C$2:$L$121,6,1)</f>
        <v>1.7298830000000001</v>
      </c>
      <c r="H20" s="3">
        <f>VLOOKUP($A20,'Summary Data (40)'!$C$2:$L$121,7,1)</f>
        <v>-4.009118</v>
      </c>
      <c r="I20" s="3" t="str">
        <f>VLOOKUP($A20,'Summary Data (40)'!$C$2:$L$121,4,0)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3.967931492891994</v>
      </c>
      <c r="N20" s="3">
        <f t="shared" si="1"/>
        <v>6.7483916217335889</v>
      </c>
      <c r="O20" s="3">
        <f t="shared" si="2"/>
        <v>7.8871175977032326</v>
      </c>
      <c r="P20" s="3">
        <f t="shared" si="3"/>
        <v>-1.1387259759696438</v>
      </c>
      <c r="Q20" s="5">
        <f t="shared" si="4"/>
        <v>-0.14437796341482803</v>
      </c>
      <c r="R20" s="3">
        <f t="shared" si="5"/>
        <v>-63.65586590726528</v>
      </c>
      <c r="S20" s="3">
        <f t="shared" si="6"/>
        <v>-93.855586511819837</v>
      </c>
      <c r="T20" s="3">
        <f t="shared" si="7"/>
        <v>30.199720604554557</v>
      </c>
      <c r="U20" s="3">
        <f>VLOOKUP($A20,'Summary Data (40)'!$C$2:$N$121,11,0)</f>
        <v>0</v>
      </c>
      <c r="V20" s="3">
        <f>VLOOKUP($A20,'Summary Data (40)'!$C$2:$N$121,12,1)</f>
        <v>0</v>
      </c>
      <c r="W20" s="3">
        <f>VLOOKUP($A20,'Summary Data (40)'!$C$2:$N$121,11,1)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(40)'!$C$2:$L$121,3,0)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(40)'!$C$2:$L$121,5,1)</f>
        <v>-1.600727</v>
      </c>
      <c r="G21" s="3">
        <f>VLOOKUP($A21,'Summary Data (40)'!$C$2:$L$121,6,1)</f>
        <v>1.7098869999999999</v>
      </c>
      <c r="H21" s="3">
        <f>VLOOKUP($A21,'Summary Data (40)'!$C$2:$L$121,7,1)</f>
        <v>-0.76798109999999997</v>
      </c>
      <c r="I21" s="3" t="str">
        <f>VLOOKUP($A21,'Summary Data (40)'!$C$2:$L$121,4,0)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5.5195442846204443</v>
      </c>
      <c r="N21" s="3">
        <f t="shared" si="1"/>
        <v>5.6053623930916556</v>
      </c>
      <c r="O21" s="3">
        <f t="shared" si="2"/>
        <v>2.5489458605470614</v>
      </c>
      <c r="P21" s="3">
        <f t="shared" si="3"/>
        <v>3.0564165325445942</v>
      </c>
      <c r="Q21" s="5">
        <f t="shared" si="4"/>
        <v>1.1990904082555203</v>
      </c>
      <c r="R21" s="3">
        <f t="shared" si="5"/>
        <v>-77.654050540796021</v>
      </c>
      <c r="S21" s="3">
        <f t="shared" si="6"/>
        <v>-152.53787415927536</v>
      </c>
      <c r="T21" s="3">
        <f t="shared" si="7"/>
        <v>74.88382361847934</v>
      </c>
      <c r="U21" s="3">
        <f>VLOOKUP($A21,'Summary Data (40)'!$C$2:$N$121,11,0)</f>
        <v>0</v>
      </c>
      <c r="V21" s="3">
        <f>VLOOKUP($A21,'Summary Data (40)'!$C$2:$N$121,12,1)</f>
        <v>0</v>
      </c>
      <c r="W21" s="3">
        <f>VLOOKUP($A21,'Summary Data (40)'!$C$2:$N$121,11,1)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(40)'!$C$2:$L$121,3,0)</f>
        <v>Chair and Table</v>
      </c>
      <c r="C22" s="3">
        <f>VLOOKUP($B22,Distances!$A$2:$D$9,2,0)</f>
        <v>3.516</v>
      </c>
      <c r="D22" s="3">
        <f>VLOOKUP($B22,Distances!$A$2:$D$9,3,0)</f>
        <v>0</v>
      </c>
      <c r="E22" s="3">
        <f>VLOOKUP($B22,Distances!$A$2:$D$9,4,0)</f>
        <v>-4.3440000000000003</v>
      </c>
      <c r="F22" s="3">
        <f>VLOOKUP($A22,'Summary Data (40)'!$C$2:$L$121,5,1)</f>
        <v>-1.2723009999999999</v>
      </c>
      <c r="G22" s="3">
        <f>VLOOKUP($A22,'Summary Data (40)'!$C$2:$L$121,6,1)</f>
        <v>1.740747</v>
      </c>
      <c r="H22" s="3">
        <f>VLOOKUP($A22,'Summary Data (40)'!$C$2:$L$121,7,1)</f>
        <v>-5.7809350000000002E-2</v>
      </c>
      <c r="I22" s="3" t="str">
        <f>VLOOKUP($A22,'Summary Data (40)'!$C$2:$L$121,4,0)</f>
        <v>Phonebooth</v>
      </c>
      <c r="J22" s="3">
        <f>VLOOKUP($I22,Distances!$A$2:$D$9,2,0)</f>
        <v>-0.85</v>
      </c>
      <c r="K22" s="3">
        <f>VLOOKUP($I22,Distances!$A$2:$D$9,3,0)</f>
        <v>0</v>
      </c>
      <c r="L22" s="3">
        <f>VLOOKUP($I22,Distances!$A$2:$D$9,4,0)</f>
        <v>-4.117</v>
      </c>
      <c r="M22" s="3">
        <f t="shared" si="0"/>
        <v>4.0810987328963773</v>
      </c>
      <c r="N22" s="3">
        <f t="shared" si="1"/>
        <v>6.4264497784350905</v>
      </c>
      <c r="O22" s="3">
        <f t="shared" si="2"/>
        <v>4.3718971854333439</v>
      </c>
      <c r="P22" s="3">
        <f t="shared" si="3"/>
        <v>2.0545525930017465</v>
      </c>
      <c r="Q22" s="5">
        <f t="shared" si="4"/>
        <v>0.46994531340930851</v>
      </c>
      <c r="R22" s="3">
        <f t="shared" si="5"/>
        <v>177.02371934116897</v>
      </c>
      <c r="S22" s="3">
        <f t="shared" si="6"/>
        <v>138.16706422226693</v>
      </c>
      <c r="T22" s="3">
        <f t="shared" si="7"/>
        <v>38.85665511890204</v>
      </c>
      <c r="U22" s="3">
        <f>VLOOKUP($A22,'Summary Data (40)'!$C$2:$N$121,11,0)</f>
        <v>0</v>
      </c>
      <c r="V22" s="3">
        <f>VLOOKUP($A22,'Summary Data (40)'!$C$2:$N$121,12,1)</f>
        <v>0</v>
      </c>
      <c r="W22" s="3">
        <f>VLOOKUP($A22,'Summary Data (40)'!$C$2:$N$121,11,1)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(40)'!$C$2:$L$121,3,0)</f>
        <v>Treasure Chest</v>
      </c>
      <c r="C23" s="3">
        <f>VLOOKUP($B23,Distances!$A$2:$D$9,2,0)</f>
        <v>1.6E-2</v>
      </c>
      <c r="D23" s="3">
        <f>VLOOKUP($B23,Distances!$A$2:$D$9,3,0)</f>
        <v>0</v>
      </c>
      <c r="E23" s="3">
        <f>VLOOKUP($B23,Distances!$A$2:$D$9,4,0)</f>
        <v>2.7240000000000002</v>
      </c>
      <c r="F23" s="3">
        <f>VLOOKUP($A23,'Summary Data (40)'!$C$2:$L$121,5,1)</f>
        <v>-0.87497879999999995</v>
      </c>
      <c r="G23" s="3">
        <f>VLOOKUP($A23,'Summary Data (40)'!$C$2:$L$121,6,1)</f>
        <v>1.7328939999999999</v>
      </c>
      <c r="H23" s="3">
        <f>VLOOKUP($A23,'Summary Data (40)'!$C$2:$L$121,7,1)</f>
        <v>-4.7349129999999997</v>
      </c>
      <c r="I23" s="3" t="str">
        <f>VLOOKUP($A23,'Summary Data (40)'!$C$2:$L$121,4,0)</f>
        <v>Chair and Table</v>
      </c>
      <c r="J23" s="3">
        <f>VLOOKUP($I23,Distances!$A$2:$D$9,2,0)</f>
        <v>3.516</v>
      </c>
      <c r="K23" s="3">
        <f>VLOOKUP($I23,Distances!$A$2:$D$9,3,0)</f>
        <v>0</v>
      </c>
      <c r="L23" s="3">
        <f>VLOOKUP($I23,Distances!$A$2:$D$9,4,0)</f>
        <v>-4.3440000000000003</v>
      </c>
      <c r="M23" s="3">
        <f t="shared" si="0"/>
        <v>4.4083452446035167</v>
      </c>
      <c r="N23" s="3">
        <f t="shared" si="1"/>
        <v>7.5119389217177774</v>
      </c>
      <c r="O23" s="3">
        <f t="shared" si="2"/>
        <v>7.8871175977032326</v>
      </c>
      <c r="P23" s="3">
        <f t="shared" si="3"/>
        <v>-0.37517867598545518</v>
      </c>
      <c r="Q23" s="5">
        <f t="shared" si="4"/>
        <v>-4.7568540894421182E-2</v>
      </c>
      <c r="R23" s="3">
        <f t="shared" si="5"/>
        <v>-63.65586590726528</v>
      </c>
      <c r="S23" s="3">
        <f t="shared" si="6"/>
        <v>-96.811794227791452</v>
      </c>
      <c r="T23" s="3">
        <f t="shared" si="7"/>
        <v>33.155928320526172</v>
      </c>
      <c r="U23" s="3">
        <f>VLOOKUP($A23,'Summary Data (40)'!$C$2:$N$121,11,0)</f>
        <v>0</v>
      </c>
      <c r="V23" s="3">
        <f>VLOOKUP($A23,'Summary Data (40)'!$C$2:$N$121,12,1)</f>
        <v>0</v>
      </c>
      <c r="W23" s="3">
        <f>VLOOKUP($A23,'Summary Data (40)'!$C$2:$N$121,11,1)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(40)'!$C$2:$L$121,3,0)</f>
        <v>Well</v>
      </c>
      <c r="C24" s="3">
        <f>VLOOKUP($B24,Distances!$A$2:$D$9,2,0)</f>
        <v>-3.9809999999999999</v>
      </c>
      <c r="D24" s="3">
        <f>VLOOKUP($B24,Distances!$A$2:$D$9,3,0)</f>
        <v>0</v>
      </c>
      <c r="E24" s="3">
        <f>VLOOKUP($B24,Distances!$A$2:$D$9,4,0)</f>
        <v>-1.4059999999999999</v>
      </c>
      <c r="F24" s="3">
        <f>VLOOKUP($A24,'Summary Data (40)'!$C$2:$L$121,5,1)</f>
        <v>-0.72756739999999998</v>
      </c>
      <c r="G24" s="3">
        <f>VLOOKUP($A24,'Summary Data (40)'!$C$2:$L$121,6,1)</f>
        <v>1.754858</v>
      </c>
      <c r="H24" s="3">
        <f>VLOOKUP($A24,'Summary Data (40)'!$C$2:$L$121,7,1)</f>
        <v>1.200026</v>
      </c>
      <c r="I24" s="3" t="str">
        <f>VLOOKUP($A24,'Summary Data (40)'!$C$2:$L$121,4,0)</f>
        <v>Guitar</v>
      </c>
      <c r="J24" s="3">
        <f>VLOOKUP($I24,Distances!$A$2:$D$9,2,0)</f>
        <v>3.3730000000000002</v>
      </c>
      <c r="K24" s="3">
        <f>VLOOKUP($I24,Distances!$A$2:$D$9,3,0)</f>
        <v>0</v>
      </c>
      <c r="L24" s="3">
        <f>VLOOKUP($I24,Distances!$A$2:$D$9,4,0)</f>
        <v>1.8169999999999999</v>
      </c>
      <c r="M24" s="3">
        <f t="shared" si="0"/>
        <v>4.146722792594022</v>
      </c>
      <c r="N24" s="3">
        <f t="shared" si="1"/>
        <v>4.1684763637831459</v>
      </c>
      <c r="O24" s="3">
        <f t="shared" si="2"/>
        <v>8.0292617967033557</v>
      </c>
      <c r="P24" s="3">
        <f t="shared" si="3"/>
        <v>-3.8607854329202098</v>
      </c>
      <c r="Q24" s="5">
        <f t="shared" si="4"/>
        <v>-0.48083940101509287</v>
      </c>
      <c r="R24" s="3">
        <f t="shared" si="5"/>
        <v>23.666151625811782</v>
      </c>
      <c r="S24" s="3">
        <f t="shared" si="6"/>
        <v>38.695011818891388</v>
      </c>
      <c r="T24" s="3">
        <f t="shared" si="7"/>
        <v>15.028860193079606</v>
      </c>
      <c r="U24" s="3">
        <f>VLOOKUP($A24,'Summary Data (40)'!$C$2:$N$121,11,0)</f>
        <v>0</v>
      </c>
      <c r="V24" s="3">
        <f>VLOOKUP($A24,'Summary Data (40)'!$C$2:$N$121,12,1)</f>
        <v>0</v>
      </c>
      <c r="W24" s="3">
        <f>VLOOKUP($A24,'Summary Data (40)'!$C$2:$N$121,11,1)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(40)'!$C$2:$L$121,3,0)</f>
        <v>Phonebooth</v>
      </c>
      <c r="C25" s="3">
        <f>VLOOKUP($B25,Distances!$A$2:$D$9,2,0)</f>
        <v>-0.85</v>
      </c>
      <c r="D25" s="3">
        <f>VLOOKUP($B25,Distances!$A$2:$D$9,3,0)</f>
        <v>0</v>
      </c>
      <c r="E25" s="3">
        <f>VLOOKUP($B25,Distances!$A$2:$D$9,4,0)</f>
        <v>-4.117</v>
      </c>
      <c r="F25" s="3">
        <f>VLOOKUP($A25,'Summary Data (40)'!$C$2:$L$121,5,1)</f>
        <v>-0.34775020000000001</v>
      </c>
      <c r="G25" s="3">
        <f>VLOOKUP($A25,'Summary Data (40)'!$C$2:$L$121,6,1)</f>
        <v>1.7426569999999999</v>
      </c>
      <c r="H25" s="3">
        <f>VLOOKUP($A25,'Summary Data (40)'!$C$2:$L$121,7,1)</f>
        <v>-0.99165340000000002</v>
      </c>
      <c r="I25" s="3" t="str">
        <f>VLOOKUP($A25,'Summary Data (40)'!$C$2:$L$121,4,0)</f>
        <v>Clock</v>
      </c>
      <c r="J25" s="3">
        <f>VLOOKUP($I25,Distances!$A$2:$D$9,2,0)</f>
        <v>-4.0789999999999997</v>
      </c>
      <c r="K25" s="3">
        <f>VLOOKUP($I25,Distances!$A$2:$D$9,3,0)</f>
        <v>0</v>
      </c>
      <c r="L25" s="3">
        <f>VLOOKUP($I25,Distances!$A$2:$D$9,4,0)</f>
        <v>4.1399999999999997</v>
      </c>
      <c r="M25" s="3">
        <f t="shared" si="0"/>
        <v>6.3447688443103729</v>
      </c>
      <c r="N25" s="3">
        <f t="shared" si="1"/>
        <v>3.1654456608401289</v>
      </c>
      <c r="O25" s="3">
        <f t="shared" si="2"/>
        <v>8.8659173242253964</v>
      </c>
      <c r="P25" s="3">
        <f t="shared" si="3"/>
        <v>-5.700471663385267</v>
      </c>
      <c r="Q25" s="5">
        <f t="shared" si="4"/>
        <v>-0.64296467640287969</v>
      </c>
      <c r="R25" s="3">
        <f t="shared" si="5"/>
        <v>111.35858600069317</v>
      </c>
      <c r="S25" s="3">
        <f t="shared" si="6"/>
        <v>80.87050344765612</v>
      </c>
      <c r="T25" s="3">
        <f t="shared" si="7"/>
        <v>30.488082553037046</v>
      </c>
      <c r="U25" s="3">
        <f>VLOOKUP($A25,'Summary Data (40)'!$C$2:$N$121,11,0)</f>
        <v>0</v>
      </c>
      <c r="V25" s="3">
        <f>VLOOKUP($A25,'Summary Data (40)'!$C$2:$N$121,12,1)</f>
        <v>0</v>
      </c>
      <c r="W25" s="3">
        <f>VLOOKUP($A25,'Summary Data (40)'!$C$2:$N$121,11,1)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(40)'!$C$2:$L$121,3,0)</f>
        <v>Guitar</v>
      </c>
      <c r="C26" s="3">
        <f>VLOOKUP($B26,Distances!$A$2:$D$9,2,0)</f>
        <v>3.3730000000000002</v>
      </c>
      <c r="D26" s="3">
        <f>VLOOKUP($B26,Distances!$A$2:$D$9,3,0)</f>
        <v>0</v>
      </c>
      <c r="E26" s="3">
        <f>VLOOKUP($B26,Distances!$A$2:$D$9,4,0)</f>
        <v>1.8169999999999999</v>
      </c>
      <c r="F26" s="3">
        <f>VLOOKUP($A26,'Summary Data (40)'!$C$2:$L$121,5,1)</f>
        <v>-0.31943680000000002</v>
      </c>
      <c r="G26" s="3">
        <f>VLOOKUP($A26,'Summary Data (40)'!$C$2:$L$121,6,1)</f>
        <v>1.7384459999999999</v>
      </c>
      <c r="H26" s="3">
        <f>VLOOKUP($A26,'Summary Data (40)'!$C$2:$L$121,7,1)</f>
        <v>1.051987</v>
      </c>
      <c r="I26" s="3" t="str">
        <f>VLOOKUP($A26,'Summary Data (40)'!$C$2:$L$121,4,0)</f>
        <v>Snowman</v>
      </c>
      <c r="J26" s="3">
        <f>VLOOKUP($I26,Distances!$A$2:$D$9,2,0)</f>
        <v>3.9180000000000001</v>
      </c>
      <c r="K26" s="3">
        <f>VLOOKUP($I26,Distances!$A$2:$D$9,3,0)</f>
        <v>0</v>
      </c>
      <c r="L26" s="3">
        <f>VLOOKUP($I26,Distances!$A$2:$D$9,4,0)</f>
        <v>-0.67300000000000004</v>
      </c>
      <c r="M26" s="3">
        <f t="shared" si="0"/>
        <v>4.5750902487451812</v>
      </c>
      <c r="N26" s="3">
        <f t="shared" si="1"/>
        <v>3.7708532737516109</v>
      </c>
      <c r="O26" s="3">
        <f t="shared" si="2"/>
        <v>2.5489458605470614</v>
      </c>
      <c r="P26" s="3">
        <f t="shared" si="3"/>
        <v>1.2219074132045495</v>
      </c>
      <c r="Q26" s="5">
        <f t="shared" si="4"/>
        <v>0.47937754666248605</v>
      </c>
      <c r="R26" s="3">
        <f t="shared" si="5"/>
        <v>-77.654050540796021</v>
      </c>
      <c r="S26" s="3">
        <f t="shared" si="6"/>
        <v>-168.29485050173633</v>
      </c>
      <c r="T26" s="3">
        <f t="shared" si="7"/>
        <v>90.640799960940313</v>
      </c>
      <c r="U26" s="3">
        <f>VLOOKUP($A26,'Summary Data (40)'!$C$2:$N$121,11,0)</f>
        <v>0</v>
      </c>
      <c r="V26" s="3">
        <f>VLOOKUP($A26,'Summary Data (40)'!$C$2:$N$121,12,1)</f>
        <v>0</v>
      </c>
      <c r="W26" s="3">
        <f>VLOOKUP($A26,'Summary Data (40)'!$C$2:$N$121,11,1)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(40)'!$C$2:$L$121,3,0)</f>
        <v>Chair and Table</v>
      </c>
      <c r="C27" s="3">
        <f>VLOOKUP($B27,Distances!$A$2:$D$9,2,0)</f>
        <v>3.516</v>
      </c>
      <c r="D27" s="3">
        <f>VLOOKUP($B27,Distances!$A$2:$D$9,3,0)</f>
        <v>0</v>
      </c>
      <c r="E27" s="3">
        <f>VLOOKUP($B27,Distances!$A$2:$D$9,4,0)</f>
        <v>-4.3440000000000003</v>
      </c>
      <c r="F27" s="3">
        <f>VLOOKUP($A27,'Summary Data (40)'!$C$2:$L$121,5,1)</f>
        <v>-4.026052</v>
      </c>
      <c r="G27" s="3">
        <f>VLOOKUP($A27,'Summary Data (40)'!$C$2:$L$121,6,1)</f>
        <v>1.735344</v>
      </c>
      <c r="H27" s="3">
        <f>VLOOKUP($A27,'Summary Data (40)'!$C$2:$L$121,7,1)</f>
        <v>-0.20754030000000001</v>
      </c>
      <c r="I27" s="3" t="str">
        <f>VLOOKUP($A27,'Summary Data (40)'!$C$2:$L$121,4,0)</f>
        <v>Phonebooth</v>
      </c>
      <c r="J27" s="3">
        <f>VLOOKUP($I27,Distances!$A$2:$D$9,2,0)</f>
        <v>-0.85</v>
      </c>
      <c r="K27" s="3">
        <f>VLOOKUP($I27,Distances!$A$2:$D$9,3,0)</f>
        <v>0</v>
      </c>
      <c r="L27" s="3">
        <f>VLOOKUP($I27,Distances!$A$2:$D$9,4,0)</f>
        <v>-4.117</v>
      </c>
      <c r="M27" s="3">
        <f t="shared" si="0"/>
        <v>5.0369813829939947</v>
      </c>
      <c r="N27" s="3">
        <f t="shared" si="1"/>
        <v>8.6019095101278591</v>
      </c>
      <c r="O27" s="3">
        <f t="shared" si="2"/>
        <v>4.3718971854333439</v>
      </c>
      <c r="P27" s="3">
        <f t="shared" si="3"/>
        <v>4.2300123246945152</v>
      </c>
      <c r="Q27" s="5">
        <f t="shared" si="4"/>
        <v>0.96754615794452514</v>
      </c>
      <c r="R27" s="3">
        <f t="shared" si="5"/>
        <v>177.02371934116897</v>
      </c>
      <c r="S27" s="3">
        <f t="shared" si="6"/>
        <v>151.25730967630713</v>
      </c>
      <c r="T27" s="3">
        <f t="shared" si="7"/>
        <v>25.76640966486184</v>
      </c>
      <c r="U27" s="3">
        <f>VLOOKUP($A27,'Summary Data (40)'!$C$2:$N$121,11,0)</f>
        <v>0</v>
      </c>
      <c r="V27" s="3">
        <f>VLOOKUP($A27,'Summary Data (40)'!$C$2:$N$121,12,1)</f>
        <v>0</v>
      </c>
      <c r="W27" s="3">
        <f>VLOOKUP($A27,'Summary Data (40)'!$C$2:$N$121,11,1)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(40)'!$C$2:$L$121,3,0)</f>
        <v>Car</v>
      </c>
      <c r="C28" s="3">
        <f>VLOOKUP($B28,Distances!$A$2:$D$9,2,0)</f>
        <v>-4.1100000000000003</v>
      </c>
      <c r="D28" s="3">
        <f>VLOOKUP($B28,Distances!$A$2:$D$9,3,0)</f>
        <v>0</v>
      </c>
      <c r="E28" s="3">
        <f>VLOOKUP($B28,Distances!$A$2:$D$9,4,0)</f>
        <v>0.09</v>
      </c>
      <c r="F28" s="3">
        <f>VLOOKUP($A28,'Summary Data (40)'!$C$2:$L$121,5,1)</f>
        <v>0.86663630000000003</v>
      </c>
      <c r="G28" s="3">
        <f>VLOOKUP($A28,'Summary Data (40)'!$C$2:$L$121,6,1)</f>
        <v>1.7419579999999999</v>
      </c>
      <c r="H28" s="3">
        <f>VLOOKUP($A28,'Summary Data (40)'!$C$2:$L$121,7,1)</f>
        <v>-1.83788</v>
      </c>
      <c r="I28" s="3" t="str">
        <f>VLOOKUP($A28,'Summary Data (40)'!$C$2:$L$121,4,0)</f>
        <v>Well</v>
      </c>
      <c r="J28" s="3">
        <f>VLOOKUP($I28,Distances!$A$2:$D$9,2,0)</f>
        <v>-3.9809999999999999</v>
      </c>
      <c r="K28" s="3">
        <f>VLOOKUP($I28,Distances!$A$2:$D$9,3,0)</f>
        <v>0</v>
      </c>
      <c r="L28" s="3">
        <f>VLOOKUP($I28,Distances!$A$2:$D$9,4,0)</f>
        <v>-1.4059999999999999</v>
      </c>
      <c r="M28" s="3">
        <f t="shared" si="0"/>
        <v>4.8668365527802235</v>
      </c>
      <c r="N28" s="3">
        <f t="shared" si="1"/>
        <v>5.3370057295151643</v>
      </c>
      <c r="O28" s="3">
        <f t="shared" si="2"/>
        <v>1.5015515309172709</v>
      </c>
      <c r="P28" s="3">
        <f t="shared" si="3"/>
        <v>3.8354541985978932</v>
      </c>
      <c r="Q28" s="5">
        <f t="shared" si="4"/>
        <v>2.5543273871226271</v>
      </c>
      <c r="R28" s="3">
        <f t="shared" si="5"/>
        <v>-85.071579131103505</v>
      </c>
      <c r="S28" s="3">
        <f t="shared" si="6"/>
        <v>-21.175678009328077</v>
      </c>
      <c r="T28" s="3">
        <f t="shared" si="7"/>
        <v>63.895901121775424</v>
      </c>
      <c r="U28" s="3">
        <f>VLOOKUP($A28,'Summary Data (40)'!$C$2:$N$121,11,0)</f>
        <v>0</v>
      </c>
      <c r="V28" s="3">
        <f>VLOOKUP($A28,'Summary Data (40)'!$C$2:$N$121,12,1)</f>
        <v>0</v>
      </c>
      <c r="W28" s="3">
        <f>VLOOKUP($A28,'Summary Data (40)'!$C$2:$N$121,11,1)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(40)'!$C$2:$L$121,3,0)</f>
        <v>Phonebooth</v>
      </c>
      <c r="C29" s="3">
        <f>VLOOKUP($B29,Distances!$A$2:$D$9,2,0)</f>
        <v>-0.85</v>
      </c>
      <c r="D29" s="3">
        <f>VLOOKUP($B29,Distances!$A$2:$D$9,3,0)</f>
        <v>0</v>
      </c>
      <c r="E29" s="3">
        <f>VLOOKUP($B29,Distances!$A$2:$D$9,4,0)</f>
        <v>-4.117</v>
      </c>
      <c r="F29" s="3">
        <f>VLOOKUP($A29,'Summary Data (40)'!$C$2:$L$121,5,1)</f>
        <v>-1.086751</v>
      </c>
      <c r="G29" s="3">
        <f>VLOOKUP($A29,'Summary Data (40)'!$C$2:$L$121,6,1)</f>
        <v>1.7340519999999999</v>
      </c>
      <c r="H29" s="3">
        <f>VLOOKUP($A29,'Summary Data (40)'!$C$2:$L$121,7,1)</f>
        <v>-0.60545590000000005</v>
      </c>
      <c r="I29" s="3" t="str">
        <f>VLOOKUP($A29,'Summary Data (40)'!$C$2:$L$121,4,0)</f>
        <v>Clock</v>
      </c>
      <c r="J29" s="3">
        <f>VLOOKUP($I29,Distances!$A$2:$D$9,2,0)</f>
        <v>-4.0789999999999997</v>
      </c>
      <c r="K29" s="3">
        <f>VLOOKUP($I29,Distances!$A$2:$D$9,3,0)</f>
        <v>0</v>
      </c>
      <c r="L29" s="3">
        <f>VLOOKUP($I29,Distances!$A$2:$D$9,4,0)</f>
        <v>4.1399999999999997</v>
      </c>
      <c r="M29" s="3">
        <f t="shared" si="0"/>
        <v>5.610071815658495</v>
      </c>
      <c r="N29" s="3">
        <f t="shared" si="1"/>
        <v>3.5195160181828706</v>
      </c>
      <c r="O29" s="3">
        <f t="shared" si="2"/>
        <v>8.8659173242253964</v>
      </c>
      <c r="P29" s="3">
        <f t="shared" si="3"/>
        <v>-5.3464013060425257</v>
      </c>
      <c r="Q29" s="5">
        <f t="shared" si="4"/>
        <v>-0.60302855424039659</v>
      </c>
      <c r="R29" s="3">
        <f t="shared" si="5"/>
        <v>111.35858600069317</v>
      </c>
      <c r="S29" s="3">
        <f t="shared" si="6"/>
        <v>93.857088315004631</v>
      </c>
      <c r="T29" s="3">
        <f t="shared" si="7"/>
        <v>17.501497685688534</v>
      </c>
      <c r="U29" s="3">
        <f>VLOOKUP($A29,'Summary Data (40)'!$C$2:$N$121,11,0)</f>
        <v>0</v>
      </c>
      <c r="V29" s="3">
        <f>VLOOKUP($A29,'Summary Data (40)'!$C$2:$N$121,12,1)</f>
        <v>0</v>
      </c>
      <c r="W29" s="3">
        <f>VLOOKUP($A29,'Summary Data (40)'!$C$2:$N$121,11,1)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(40)'!$C$2:$L$121,3,0)</f>
        <v>Treasure Chest</v>
      </c>
      <c r="C30" s="3">
        <f>VLOOKUP($B30,Distances!$A$2:$D$9,2,0)</f>
        <v>1.6E-2</v>
      </c>
      <c r="D30" s="3">
        <f>VLOOKUP($B30,Distances!$A$2:$D$9,3,0)</f>
        <v>0</v>
      </c>
      <c r="E30" s="3">
        <f>VLOOKUP($B30,Distances!$A$2:$D$9,4,0)</f>
        <v>2.7240000000000002</v>
      </c>
      <c r="F30" s="3">
        <f>VLOOKUP($A30,'Summary Data (40)'!$C$2:$L$121,5,1)</f>
        <v>4.5233679999999996</v>
      </c>
      <c r="G30" s="3">
        <f>VLOOKUP($A30,'Summary Data (40)'!$C$2:$L$121,6,1)</f>
        <v>1.7410620000000001</v>
      </c>
      <c r="H30" s="3">
        <f>VLOOKUP($A30,'Summary Data (40)'!$C$2:$L$121,7,1)</f>
        <v>-8.891553</v>
      </c>
      <c r="I30" s="3" t="str">
        <f>VLOOKUP($A30,'Summary Data (40)'!$C$2:$L$121,4,0)</f>
        <v>Chair and Table</v>
      </c>
      <c r="J30" s="3">
        <f>VLOOKUP($I30,Distances!$A$2:$D$9,2,0)</f>
        <v>3.516</v>
      </c>
      <c r="K30" s="3">
        <f>VLOOKUP($I30,Distances!$A$2:$D$9,3,0)</f>
        <v>0</v>
      </c>
      <c r="L30" s="3">
        <f>VLOOKUP($I30,Distances!$A$2:$D$9,4,0)</f>
        <v>-4.3440000000000003</v>
      </c>
      <c r="M30" s="3">
        <f t="shared" si="0"/>
        <v>4.6577922426008866</v>
      </c>
      <c r="N30" s="3">
        <f t="shared" si="1"/>
        <v>12.459431679785117</v>
      </c>
      <c r="O30" s="3">
        <f t="shared" si="2"/>
        <v>7.8871175977032326</v>
      </c>
      <c r="P30" s="3">
        <f t="shared" si="3"/>
        <v>4.5723140820818848</v>
      </c>
      <c r="Q30" s="5">
        <f t="shared" si="4"/>
        <v>0.5797192732885541</v>
      </c>
      <c r="R30" s="3">
        <f t="shared" si="5"/>
        <v>-63.65586590726528</v>
      </c>
      <c r="S30" s="3">
        <f t="shared" si="6"/>
        <v>-68.791459930422164</v>
      </c>
      <c r="T30" s="3">
        <f t="shared" si="7"/>
        <v>5.1355940231568837</v>
      </c>
      <c r="U30" s="3">
        <f>VLOOKUP($A30,'Summary Data (40)'!$C$2:$N$121,11,0)</f>
        <v>0</v>
      </c>
      <c r="V30" s="3">
        <f>VLOOKUP($A30,'Summary Data (40)'!$C$2:$N$121,12,1)</f>
        <v>0</v>
      </c>
      <c r="W30" s="3">
        <f>VLOOKUP($A30,'Summary Data (40)'!$C$2:$N$121,11,1)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(40)'!$C$2:$L$121,3,0)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(40)'!$C$2:$L$121,5,1)</f>
        <v>0.4843402</v>
      </c>
      <c r="G31" s="3">
        <f>VLOOKUP($A31,'Summary Data (40)'!$C$2:$L$121,6,1)</f>
        <v>1.7341899999999999</v>
      </c>
      <c r="H31" s="3">
        <f>VLOOKUP($A31,'Summary Data (40)'!$C$2:$L$121,7,1)</f>
        <v>-2.9635929999999999</v>
      </c>
      <c r="I31" s="3" t="str">
        <f>VLOOKUP($A31,'Summary Data (40)'!$C$2:$L$121,4,0)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4.7292027927955296</v>
      </c>
      <c r="N31" s="3">
        <f t="shared" si="1"/>
        <v>5.516556179627381</v>
      </c>
      <c r="O31" s="3">
        <f t="shared" si="2"/>
        <v>1.5015515309172709</v>
      </c>
      <c r="P31" s="3">
        <f t="shared" si="3"/>
        <v>4.0150046487101099</v>
      </c>
      <c r="Q31" s="5">
        <f t="shared" si="4"/>
        <v>2.6739040026534524</v>
      </c>
      <c r="R31" s="3">
        <f t="shared" si="5"/>
        <v>-85.071579131103505</v>
      </c>
      <c r="S31" s="3">
        <f t="shared" si="6"/>
        <v>-33.609694735184874</v>
      </c>
      <c r="T31" s="3">
        <f t="shared" si="7"/>
        <v>51.461884395918631</v>
      </c>
      <c r="U31" s="3">
        <f>VLOOKUP($A31,'Summary Data (40)'!$C$2:$N$121,11,0)</f>
        <v>0</v>
      </c>
      <c r="V31" s="3">
        <f>VLOOKUP($A31,'Summary Data (40)'!$C$2:$N$121,12,1)</f>
        <v>0</v>
      </c>
      <c r="W31" s="3">
        <f>VLOOKUP($A31,'Summary Data (40)'!$C$2:$N$121,11,1)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(40)'!$C$2:$L$121,3,0)</f>
        <v>Clock</v>
      </c>
      <c r="C32" s="3">
        <f>VLOOKUP($B32,Distances!$A$2:$D$9,2,0)</f>
        <v>-4.0789999999999997</v>
      </c>
      <c r="D32" s="3">
        <f>VLOOKUP($B32,Distances!$A$2:$D$9,3,0)</f>
        <v>0</v>
      </c>
      <c r="E32" s="3">
        <f>VLOOKUP($B32,Distances!$A$2:$D$9,4,0)</f>
        <v>4.1399999999999997</v>
      </c>
      <c r="F32" s="3">
        <f>VLOOKUP($A32,'Summary Data (40)'!$C$2:$L$121,5,1)</f>
        <v>3.9794719999999999</v>
      </c>
      <c r="G32" s="3">
        <f>VLOOKUP($A32,'Summary Data (40)'!$C$2:$L$121,6,1)</f>
        <v>1.7350779999999999</v>
      </c>
      <c r="H32" s="3">
        <f>VLOOKUP($A32,'Summary Data (40)'!$C$2:$L$121,7,1)</f>
        <v>4.9763989999999998</v>
      </c>
      <c r="I32" s="3" t="str">
        <f>VLOOKUP($A32,'Summary Data (40)'!$C$2:$L$121,4,0)</f>
        <v>Treasure Chest</v>
      </c>
      <c r="J32" s="3">
        <f>VLOOKUP($I32,Distances!$A$2:$D$9,2,0)</f>
        <v>1.6E-2</v>
      </c>
      <c r="K32" s="3">
        <f>VLOOKUP($I32,Distances!$A$2:$D$9,3,0)</f>
        <v>0</v>
      </c>
      <c r="L32" s="3">
        <f>VLOOKUP($I32,Distances!$A$2:$D$9,4,0)</f>
        <v>2.7240000000000002</v>
      </c>
      <c r="M32" s="3">
        <f t="shared" si="0"/>
        <v>4.5587730311987453</v>
      </c>
      <c r="N32" s="3">
        <f t="shared" si="1"/>
        <v>8.1017611827296534</v>
      </c>
      <c r="O32" s="3">
        <f t="shared" si="2"/>
        <v>4.3329067610554466</v>
      </c>
      <c r="P32" s="3">
        <f t="shared" si="3"/>
        <v>3.7688544216742068</v>
      </c>
      <c r="Q32" s="5">
        <f t="shared" si="4"/>
        <v>0.86982126076402277</v>
      </c>
      <c r="R32" s="3">
        <f t="shared" si="5"/>
        <v>-19.074748100261683</v>
      </c>
      <c r="S32" s="3">
        <f t="shared" si="6"/>
        <v>5.9255841622518481</v>
      </c>
      <c r="T32" s="3">
        <f t="shared" si="7"/>
        <v>25.000332262513531</v>
      </c>
      <c r="U32" s="3">
        <f>VLOOKUP($A32,'Summary Data (40)'!$C$2:$N$121,11,0)</f>
        <v>0</v>
      </c>
      <c r="V32" s="3">
        <f>VLOOKUP($A32,'Summary Data (40)'!$C$2:$N$121,12,1)</f>
        <v>0</v>
      </c>
      <c r="W32" s="3">
        <f>VLOOKUP($A32,'Summary Data (40)'!$C$2:$N$121,11,1)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(40)'!$C$2:$L$121,3,0)</f>
        <v>Chair and Table</v>
      </c>
      <c r="C33" s="3">
        <f>VLOOKUP($B33,Distances!$A$2:$D$9,2,0)</f>
        <v>3.516</v>
      </c>
      <c r="D33" s="3">
        <f>VLOOKUP($B33,Distances!$A$2:$D$9,3,0)</f>
        <v>0</v>
      </c>
      <c r="E33" s="3">
        <f>VLOOKUP($B33,Distances!$A$2:$D$9,4,0)</f>
        <v>-4.3440000000000003</v>
      </c>
      <c r="F33" s="3">
        <f>VLOOKUP($A33,'Summary Data (40)'!$C$2:$L$121,5,1)</f>
        <v>1.105261</v>
      </c>
      <c r="G33" s="3">
        <f>VLOOKUP($A33,'Summary Data (40)'!$C$2:$L$121,6,1)</f>
        <v>1.734648</v>
      </c>
      <c r="H33" s="3">
        <f>VLOOKUP($A33,'Summary Data (40)'!$C$2:$L$121,7,1)</f>
        <v>0.50543550000000004</v>
      </c>
      <c r="I33" s="3" t="str">
        <f>VLOOKUP($A33,'Summary Data (40)'!$C$2:$L$121,4,0)</f>
        <v>Phonebooth</v>
      </c>
      <c r="J33" s="3">
        <f>VLOOKUP($I33,Distances!$A$2:$D$9,2,0)</f>
        <v>-0.85</v>
      </c>
      <c r="K33" s="3">
        <f>VLOOKUP($I33,Distances!$A$2:$D$9,3,0)</f>
        <v>0</v>
      </c>
      <c r="L33" s="3">
        <f>VLOOKUP($I33,Distances!$A$2:$D$9,4,0)</f>
        <v>-4.117</v>
      </c>
      <c r="M33" s="3">
        <f t="shared" si="0"/>
        <v>5.018959606310978</v>
      </c>
      <c r="N33" s="3">
        <f t="shared" si="1"/>
        <v>5.4155966610135629</v>
      </c>
      <c r="O33" s="3">
        <f t="shared" si="2"/>
        <v>4.3718971854333439</v>
      </c>
      <c r="P33" s="3">
        <f t="shared" si="3"/>
        <v>1.0436994755802189</v>
      </c>
      <c r="Q33" s="5">
        <f t="shared" si="4"/>
        <v>0.23872919039763901</v>
      </c>
      <c r="R33" s="3">
        <f t="shared" si="5"/>
        <v>177.02371934116897</v>
      </c>
      <c r="S33" s="3">
        <f t="shared" si="6"/>
        <v>116.432772440625</v>
      </c>
      <c r="T33" s="3">
        <f t="shared" si="7"/>
        <v>60.590946900543969</v>
      </c>
      <c r="U33" s="3">
        <f>VLOOKUP($A33,'Summary Data (40)'!$C$2:$N$121,11,0)</f>
        <v>0</v>
      </c>
      <c r="V33" s="3">
        <f>VLOOKUP($A33,'Summary Data (40)'!$C$2:$N$121,12,1)</f>
        <v>0</v>
      </c>
      <c r="W33" s="3">
        <f>VLOOKUP($A33,'Summary Data (40)'!$C$2:$N$121,11,1)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(40)'!$C$2:$L$121,3,0)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(40)'!$C$2:$L$121,5,1)</f>
        <v>8.2871989999999993</v>
      </c>
      <c r="G34" s="3">
        <f>VLOOKUP($A34,'Summary Data (40)'!$C$2:$L$121,6,1)</f>
        <v>1.734758</v>
      </c>
      <c r="H34" s="3">
        <f>VLOOKUP($A34,'Summary Data (40)'!$C$2:$L$121,7,1)</f>
        <v>1.5302249999999999</v>
      </c>
      <c r="I34" s="3" t="str">
        <f>VLOOKUP($A34,'Summary Data (40)'!$C$2:$L$121,4,0)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4.922559467617023</v>
      </c>
      <c r="N34" s="3">
        <f t="shared" si="1"/>
        <v>12.614678908090605</v>
      </c>
      <c r="O34" s="3">
        <f t="shared" si="2"/>
        <v>8.0292617967033557</v>
      </c>
      <c r="P34" s="3">
        <f t="shared" si="3"/>
        <v>4.5854171113872493</v>
      </c>
      <c r="Q34" s="5">
        <f t="shared" si="4"/>
        <v>0.57108825536986774</v>
      </c>
      <c r="R34" s="3">
        <f t="shared" si="5"/>
        <v>23.666151625811782</v>
      </c>
      <c r="S34" s="3">
        <f t="shared" si="6"/>
        <v>13.45977015982359</v>
      </c>
      <c r="T34" s="3">
        <f t="shared" si="7"/>
        <v>10.206381465988192</v>
      </c>
      <c r="U34" s="3">
        <f>VLOOKUP($A34,'Summary Data (40)'!$C$2:$N$121,11,0)</f>
        <v>0</v>
      </c>
      <c r="V34" s="3">
        <f>VLOOKUP($A34,'Summary Data (40)'!$C$2:$N$121,12,1)</f>
        <v>0</v>
      </c>
      <c r="W34" s="3">
        <f>VLOOKUP($A34,'Summary Data (40)'!$C$2:$N$121,11,1)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(40)'!$C$2:$L$121,3,0)</f>
        <v>Car</v>
      </c>
      <c r="C35" s="3">
        <f>VLOOKUP($B35,Distances!$A$2:$D$9,2,0)</f>
        <v>-4.1100000000000003</v>
      </c>
      <c r="D35" s="3">
        <f>VLOOKUP($B35,Distances!$A$2:$D$9,3,0)</f>
        <v>0</v>
      </c>
      <c r="E35" s="3">
        <f>VLOOKUP($B35,Distances!$A$2:$D$9,4,0)</f>
        <v>0.09</v>
      </c>
      <c r="F35" s="3">
        <f>VLOOKUP($A35,'Summary Data (40)'!$C$2:$L$121,5,1)</f>
        <v>1.056532</v>
      </c>
      <c r="G35" s="3">
        <f>VLOOKUP($A35,'Summary Data (40)'!$C$2:$L$121,6,1)</f>
        <v>1.7393339999999999</v>
      </c>
      <c r="H35" s="3">
        <f>VLOOKUP($A35,'Summary Data (40)'!$C$2:$L$121,7,1)</f>
        <v>-0.43176599999999998</v>
      </c>
      <c r="I35" s="3" t="str">
        <f>VLOOKUP($A35,'Summary Data (40)'!$C$2:$L$121,4,0)</f>
        <v>Well</v>
      </c>
      <c r="J35" s="3">
        <f>VLOOKUP($I35,Distances!$A$2:$D$9,2,0)</f>
        <v>-3.9809999999999999</v>
      </c>
      <c r="K35" s="3">
        <f>VLOOKUP($I35,Distances!$A$2:$D$9,3,0)</f>
        <v>0</v>
      </c>
      <c r="L35" s="3">
        <f>VLOOKUP($I35,Distances!$A$2:$D$9,4,0)</f>
        <v>-1.4059999999999999</v>
      </c>
      <c r="M35" s="3">
        <f t="shared" si="0"/>
        <v>5.1308732724342354</v>
      </c>
      <c r="N35" s="3">
        <f t="shared" si="1"/>
        <v>5.192811633959006</v>
      </c>
      <c r="O35" s="3">
        <f t="shared" si="2"/>
        <v>1.5015515309172709</v>
      </c>
      <c r="P35" s="3">
        <f t="shared" si="3"/>
        <v>3.6912601030417349</v>
      </c>
      <c r="Q35" s="5">
        <f t="shared" si="4"/>
        <v>2.4582973191648043</v>
      </c>
      <c r="R35" s="3">
        <f t="shared" si="5"/>
        <v>-85.071579131103505</v>
      </c>
      <c r="S35" s="3">
        <f t="shared" si="6"/>
        <v>-5.7667261371023315</v>
      </c>
      <c r="T35" s="3">
        <f t="shared" si="7"/>
        <v>79.30485299400118</v>
      </c>
      <c r="U35" s="3">
        <f>VLOOKUP($A35,'Summary Data (40)'!$C$2:$N$121,11,0)</f>
        <v>0</v>
      </c>
      <c r="V35" s="3">
        <f>VLOOKUP($A35,'Summary Data (40)'!$C$2:$N$121,12,1)</f>
        <v>0</v>
      </c>
      <c r="W35" s="3">
        <f>VLOOKUP($A35,'Summary Data (40)'!$C$2:$N$121,11,1)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(40)'!$C$2:$L$121,3,0)</f>
        <v>Clock</v>
      </c>
      <c r="C36" s="3">
        <f>VLOOKUP($B36,Distances!$A$2:$D$9,2,0)</f>
        <v>-4.0789999999999997</v>
      </c>
      <c r="D36" s="3">
        <f>VLOOKUP($B36,Distances!$A$2:$D$9,3,0)</f>
        <v>0</v>
      </c>
      <c r="E36" s="3">
        <f>VLOOKUP($B36,Distances!$A$2:$D$9,4,0)</f>
        <v>4.1399999999999997</v>
      </c>
      <c r="F36" s="3">
        <f>VLOOKUP($A36,'Summary Data (40)'!$C$2:$L$121,5,1)</f>
        <v>-3.42788</v>
      </c>
      <c r="G36" s="3">
        <f>VLOOKUP($A36,'Summary Data (40)'!$C$2:$L$121,6,1)</f>
        <v>1.7296929999999999</v>
      </c>
      <c r="H36" s="3">
        <f>VLOOKUP($A36,'Summary Data (40)'!$C$2:$L$121,7,1)</f>
        <v>4.6324160000000001</v>
      </c>
      <c r="I36" s="3" t="str">
        <f>VLOOKUP($A36,'Summary Data (40)'!$C$2:$L$121,4,0)</f>
        <v>Treasure Chest</v>
      </c>
      <c r="J36" s="3">
        <f>VLOOKUP($I36,Distances!$A$2:$D$9,2,0)</f>
        <v>1.6E-2</v>
      </c>
      <c r="K36" s="3">
        <f>VLOOKUP($I36,Distances!$A$2:$D$9,3,0)</f>
        <v>0</v>
      </c>
      <c r="L36" s="3">
        <f>VLOOKUP($I36,Distances!$A$2:$D$9,4,0)</f>
        <v>2.7240000000000002</v>
      </c>
      <c r="M36" s="3">
        <f t="shared" si="0"/>
        <v>3.9373037834863593</v>
      </c>
      <c r="N36" s="3">
        <f t="shared" si="1"/>
        <v>0.81635211242208472</v>
      </c>
      <c r="O36" s="3">
        <f t="shared" si="2"/>
        <v>4.3329067610554466</v>
      </c>
      <c r="P36" s="3">
        <f t="shared" si="3"/>
        <v>-3.5165546486333619</v>
      </c>
      <c r="Q36" s="5">
        <f t="shared" si="4"/>
        <v>-0.81159250419152096</v>
      </c>
      <c r="R36" s="3">
        <f t="shared" si="5"/>
        <v>-19.074748100261683</v>
      </c>
      <c r="S36" s="3">
        <f t="shared" si="6"/>
        <v>37.098757927829226</v>
      </c>
      <c r="T36" s="3">
        <f t="shared" si="7"/>
        <v>56.173506028090912</v>
      </c>
      <c r="U36" s="3">
        <f>VLOOKUP($A36,'Summary Data (40)'!$C$2:$N$121,11,0)</f>
        <v>0</v>
      </c>
      <c r="V36" s="3">
        <f>VLOOKUP($A36,'Summary Data (40)'!$C$2:$N$121,12,1)</f>
        <v>0</v>
      </c>
      <c r="W36" s="3">
        <f>VLOOKUP($A36,'Summary Data (40)'!$C$2:$N$121,11,1)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(40)'!$C$2:$L$121,3,0)</f>
        <v>Snowman</v>
      </c>
      <c r="C37" s="3">
        <f>VLOOKUP($B37,Distances!$A$2:$D$9,2,0)</f>
        <v>3.9180000000000001</v>
      </c>
      <c r="D37" s="3">
        <f>VLOOKUP($B37,Distances!$A$2:$D$9,3,0)</f>
        <v>0</v>
      </c>
      <c r="E37" s="3">
        <f>VLOOKUP($B37,Distances!$A$2:$D$9,4,0)</f>
        <v>-0.67300000000000004</v>
      </c>
      <c r="F37" s="3">
        <f>VLOOKUP($A37,'Summary Data (40)'!$C$2:$L$121,5,1)</f>
        <v>-1.7206570000000001</v>
      </c>
      <c r="G37" s="3">
        <f>VLOOKUP($A37,'Summary Data (40)'!$C$2:$L$121,6,1)</f>
        <v>1.7453050000000001</v>
      </c>
      <c r="H37" s="3">
        <f>VLOOKUP($A37,'Summary Data (40)'!$C$2:$L$121,7,1)</f>
        <v>2.5222039999999999</v>
      </c>
      <c r="I37" s="3" t="str">
        <f>VLOOKUP($A37,'Summary Data (40)'!$C$2:$L$121,4,0)</f>
        <v>Car</v>
      </c>
      <c r="J37" s="3">
        <f>VLOOKUP($I37,Distances!$A$2:$D$9,2,0)</f>
        <v>-4.1100000000000003</v>
      </c>
      <c r="K37" s="3">
        <f>VLOOKUP($I37,Distances!$A$2:$D$9,3,0)</f>
        <v>0</v>
      </c>
      <c r="L37" s="3">
        <f>VLOOKUP($I37,Distances!$A$2:$D$9,4,0)</f>
        <v>0.09</v>
      </c>
      <c r="M37" s="3">
        <f t="shared" si="0"/>
        <v>3.4094832847903804</v>
      </c>
      <c r="N37" s="3">
        <f t="shared" si="1"/>
        <v>6.4810324305055751</v>
      </c>
      <c r="O37" s="3">
        <f t="shared" si="2"/>
        <v>8.0641771433916301</v>
      </c>
      <c r="P37" s="3">
        <f t="shared" si="3"/>
        <v>-1.583144712886055</v>
      </c>
      <c r="Q37" s="5">
        <f t="shared" si="4"/>
        <v>-0.1963181964800213</v>
      </c>
      <c r="R37" s="3">
        <f t="shared" si="5"/>
        <v>174.57078263739461</v>
      </c>
      <c r="S37" s="3">
        <f t="shared" si="6"/>
        <v>150.46148668514712</v>
      </c>
      <c r="T37" s="3">
        <f t="shared" si="7"/>
        <v>24.109295952247493</v>
      </c>
      <c r="U37" s="3">
        <f>VLOOKUP($A37,'Summary Data (40)'!$C$2:$N$121,11,0)</f>
        <v>0</v>
      </c>
      <c r="V37" s="3">
        <f>VLOOKUP($A37,'Summary Data (40)'!$C$2:$N$121,12,1)</f>
        <v>0</v>
      </c>
      <c r="W37" s="3">
        <f>VLOOKUP($A37,'Summary Data (40)'!$C$2:$N$121,11,1)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(40)'!$C$2:$L$121,3,0)</f>
        <v>Guitar</v>
      </c>
      <c r="C38" s="3">
        <f>VLOOKUP($B38,Distances!$A$2:$D$9,2,0)</f>
        <v>3.3730000000000002</v>
      </c>
      <c r="D38" s="3">
        <f>VLOOKUP($B38,Distances!$A$2:$D$9,3,0)</f>
        <v>0</v>
      </c>
      <c r="E38" s="3">
        <f>VLOOKUP($B38,Distances!$A$2:$D$9,4,0)</f>
        <v>1.8169999999999999</v>
      </c>
      <c r="F38" s="3">
        <f>VLOOKUP($A38,'Summary Data (40)'!$C$2:$L$121,5,1)</f>
        <v>0.61073350000000004</v>
      </c>
      <c r="G38" s="3">
        <f>VLOOKUP($A38,'Summary Data (40)'!$C$2:$L$121,6,1)</f>
        <v>1.74749</v>
      </c>
      <c r="H38" s="3">
        <f>VLOOKUP($A38,'Summary Data (40)'!$C$2:$L$121,7,1)</f>
        <v>4.2217929999999999</v>
      </c>
      <c r="I38" s="3" t="str">
        <f>VLOOKUP($A38,'Summary Data (40)'!$C$2:$L$121,4,0)</f>
        <v>Snowman</v>
      </c>
      <c r="J38" s="3">
        <f>VLOOKUP($I38,Distances!$A$2:$D$9,2,0)</f>
        <v>3.9180000000000001</v>
      </c>
      <c r="K38" s="3">
        <f>VLOOKUP($I38,Distances!$A$2:$D$9,3,0)</f>
        <v>0</v>
      </c>
      <c r="L38" s="3">
        <f>VLOOKUP($I38,Distances!$A$2:$D$9,4,0)</f>
        <v>-0.67300000000000004</v>
      </c>
      <c r="M38" s="3">
        <f t="shared" si="0"/>
        <v>5.9073691449638774</v>
      </c>
      <c r="N38" s="3">
        <f t="shared" si="1"/>
        <v>3.662396154141609</v>
      </c>
      <c r="O38" s="3">
        <f t="shared" si="2"/>
        <v>2.5489458605470614</v>
      </c>
      <c r="P38" s="3">
        <f t="shared" si="3"/>
        <v>1.1134502935945476</v>
      </c>
      <c r="Q38" s="5">
        <f t="shared" si="4"/>
        <v>0.43682775331900381</v>
      </c>
      <c r="R38" s="3">
        <f t="shared" si="5"/>
        <v>-77.654050540796021</v>
      </c>
      <c r="S38" s="3">
        <f t="shared" si="6"/>
        <v>138.9575969798656</v>
      </c>
      <c r="T38" s="3">
        <f t="shared" si="7"/>
        <v>143.38835247933838</v>
      </c>
      <c r="U38" s="3">
        <f>VLOOKUP($A38,'Summary Data (40)'!$C$2:$N$121,11,0)</f>
        <v>0</v>
      </c>
      <c r="V38" s="3">
        <f>VLOOKUP($A38,'Summary Data (40)'!$C$2:$N$121,12,1)</f>
        <v>0</v>
      </c>
      <c r="W38" s="3">
        <f>VLOOKUP($A38,'Summary Data (40)'!$C$2:$N$121,11,1)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(40)'!$C$2:$L$121,3,0)</f>
        <v>Well</v>
      </c>
      <c r="C39" s="3">
        <f>VLOOKUP($B39,Distances!$A$2:$D$9,2,0)</f>
        <v>-3.9809999999999999</v>
      </c>
      <c r="D39" s="3">
        <f>VLOOKUP($B39,Distances!$A$2:$D$9,3,0)</f>
        <v>0</v>
      </c>
      <c r="E39" s="3">
        <f>VLOOKUP($B39,Distances!$A$2:$D$9,4,0)</f>
        <v>-1.4059999999999999</v>
      </c>
      <c r="F39" s="3">
        <f>VLOOKUP($A39,'Summary Data (40)'!$C$2:$L$121,5,1)</f>
        <v>7.5986539999999998</v>
      </c>
      <c r="G39" s="3">
        <f>VLOOKUP($A39,'Summary Data (40)'!$C$2:$L$121,6,1)</f>
        <v>1.734647</v>
      </c>
      <c r="H39" s="3">
        <f>VLOOKUP($A39,'Summary Data (40)'!$C$2:$L$121,7,1)</f>
        <v>1.9722630000000001</v>
      </c>
      <c r="I39" s="3" t="str">
        <f>VLOOKUP($A39,'Summary Data (40)'!$C$2:$L$121,4,0)</f>
        <v>Guitar</v>
      </c>
      <c r="J39" s="3">
        <f>VLOOKUP($I39,Distances!$A$2:$D$9,2,0)</f>
        <v>3.3730000000000002</v>
      </c>
      <c r="K39" s="3">
        <f>VLOOKUP($I39,Distances!$A$2:$D$9,3,0)</f>
        <v>0</v>
      </c>
      <c r="L39" s="3">
        <f>VLOOKUP($I39,Distances!$A$2:$D$9,4,0)</f>
        <v>1.8169999999999999</v>
      </c>
      <c r="M39" s="3">
        <f t="shared" si="0"/>
        <v>4.2285054483688436</v>
      </c>
      <c r="N39" s="3">
        <f t="shared" si="1"/>
        <v>12.062381508511701</v>
      </c>
      <c r="O39" s="3">
        <f t="shared" si="2"/>
        <v>8.0292617967033557</v>
      </c>
      <c r="P39" s="3">
        <f t="shared" si="3"/>
        <v>4.0331197118083448</v>
      </c>
      <c r="Q39" s="5">
        <f t="shared" si="4"/>
        <v>0.50230267911606241</v>
      </c>
      <c r="R39" s="3">
        <f t="shared" si="5"/>
        <v>23.666151625811782</v>
      </c>
      <c r="S39" s="3">
        <f t="shared" si="6"/>
        <v>16.264144131692067</v>
      </c>
      <c r="T39" s="3">
        <f t="shared" si="7"/>
        <v>7.4020074941197151</v>
      </c>
      <c r="U39" s="3">
        <f>VLOOKUP($A39,'Summary Data (40)'!$C$2:$N$121,11,0)</f>
        <v>0</v>
      </c>
      <c r="V39" s="3">
        <f>VLOOKUP($A39,'Summary Data (40)'!$C$2:$N$121,12,1)</f>
        <v>0</v>
      </c>
      <c r="W39" s="3">
        <f>VLOOKUP($A39,'Summary Data (40)'!$C$2:$N$121,11,1)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(40)'!$C$2:$L$121,3,0)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(40)'!$C$2:$L$121,5,1)</f>
        <v>1.052705</v>
      </c>
      <c r="G40" s="3">
        <f>VLOOKUP($A40,'Summary Data (40)'!$C$2:$L$121,6,1)</f>
        <v>1.7439709999999999</v>
      </c>
      <c r="H40" s="3">
        <f>VLOOKUP($A40,'Summary Data (40)'!$C$2:$L$121,7,1)</f>
        <v>-7.7604480000000002</v>
      </c>
      <c r="I40" s="3" t="str">
        <f>VLOOKUP($A40,'Summary Data (40)'!$C$2:$L$121,4,0)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4.2118807193139975</v>
      </c>
      <c r="N40" s="3">
        <f t="shared" si="1"/>
        <v>10.535578157924178</v>
      </c>
      <c r="O40" s="3">
        <f t="shared" si="2"/>
        <v>7.8871175977032326</v>
      </c>
      <c r="P40" s="3">
        <f t="shared" si="3"/>
        <v>2.6484605602209452</v>
      </c>
      <c r="Q40" s="5">
        <f t="shared" si="4"/>
        <v>0.33579574887943725</v>
      </c>
      <c r="R40" s="3">
        <f t="shared" si="5"/>
        <v>-63.65586590726528</v>
      </c>
      <c r="S40" s="3">
        <f t="shared" si="6"/>
        <v>-84.352934742046259</v>
      </c>
      <c r="T40" s="3">
        <f t="shared" si="7"/>
        <v>20.697068834780978</v>
      </c>
      <c r="U40" s="3">
        <f>VLOOKUP($A40,'Summary Data (40)'!$C$2:$N$121,11,0)</f>
        <v>0</v>
      </c>
      <c r="V40" s="3">
        <f>VLOOKUP($A40,'Summary Data (40)'!$C$2:$N$121,12,1)</f>
        <v>0</v>
      </c>
      <c r="W40" s="3">
        <f>VLOOKUP($A40,'Summary Data (40)'!$C$2:$N$121,11,1)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(40)'!$C$2:$L$121,3,0)</f>
        <v>Guitar</v>
      </c>
      <c r="C41" s="3">
        <f>VLOOKUP($B41,Distances!$A$2:$D$9,2,0)</f>
        <v>3.3730000000000002</v>
      </c>
      <c r="D41" s="3">
        <f>VLOOKUP($B41,Distances!$A$2:$D$9,3,0)</f>
        <v>0</v>
      </c>
      <c r="E41" s="3">
        <f>VLOOKUP($B41,Distances!$A$2:$D$9,4,0)</f>
        <v>1.8169999999999999</v>
      </c>
      <c r="F41" s="3">
        <f>VLOOKUP($A41,'Summary Data (40)'!$C$2:$L$121,5,1)</f>
        <v>0.49106959999999999</v>
      </c>
      <c r="G41" s="3">
        <f>VLOOKUP($A41,'Summary Data (40)'!$C$2:$L$121,6,1)</f>
        <v>1.742872</v>
      </c>
      <c r="H41" s="3">
        <f>VLOOKUP($A41,'Summary Data (40)'!$C$2:$L$121,7,1)</f>
        <v>3.6410360000000002</v>
      </c>
      <c r="I41" s="3" t="str">
        <f>VLOOKUP($A41,'Summary Data (40)'!$C$2:$L$121,4,0)</f>
        <v>Snowman</v>
      </c>
      <c r="J41" s="3">
        <f>VLOOKUP($I41,Distances!$A$2:$D$9,2,0)</f>
        <v>3.9180000000000001</v>
      </c>
      <c r="K41" s="3">
        <f>VLOOKUP($I41,Distances!$A$2:$D$9,3,0)</f>
        <v>0</v>
      </c>
      <c r="L41" s="3">
        <f>VLOOKUP($I41,Distances!$A$2:$D$9,4,0)</f>
        <v>-0.67300000000000004</v>
      </c>
      <c r="M41" s="3">
        <f t="shared" si="0"/>
        <v>5.5095152759330981</v>
      </c>
      <c r="N41" s="3">
        <f t="shared" si="1"/>
        <v>3.4106641816133356</v>
      </c>
      <c r="O41" s="3">
        <f t="shared" si="2"/>
        <v>2.5489458605470614</v>
      </c>
      <c r="P41" s="3">
        <f t="shared" si="3"/>
        <v>0.86171832106627422</v>
      </c>
      <c r="Q41" s="5">
        <f t="shared" si="4"/>
        <v>0.33806850683024314</v>
      </c>
      <c r="R41" s="3">
        <f t="shared" si="5"/>
        <v>-77.654050540796021</v>
      </c>
      <c r="S41" s="3">
        <f t="shared" si="6"/>
        <v>147.6693966853864</v>
      </c>
      <c r="T41" s="3">
        <f t="shared" si="7"/>
        <v>134.67655277381758</v>
      </c>
      <c r="U41" s="3">
        <f>VLOOKUP($A41,'Summary Data (40)'!$C$2:$N$121,11,0)</f>
        <v>0</v>
      </c>
      <c r="V41" s="3">
        <f>VLOOKUP($A41,'Summary Data (40)'!$C$2:$N$121,12,1)</f>
        <v>0</v>
      </c>
      <c r="W41" s="3">
        <f>VLOOKUP($A41,'Summary Data (40)'!$C$2:$N$121,11,1)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0.76407841616324579</v>
      </c>
      <c r="T42" s="3">
        <f>AVERAGE(T2:T41)</f>
        <v>47.508591831210737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2017-09-13T21:03:11Z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