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9 UVRZ\"/>
    </mc:Choice>
  </mc:AlternateContent>
  <bookViews>
    <workbookView xWindow="0" yWindow="0" windowWidth="28800" windowHeight="12210" tabRatio="500" firstSheet="1" activeTab="2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J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D13" i="3"/>
  <c r="C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D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4" i="3" l="1"/>
  <c r="E39" i="3"/>
  <c r="C12" i="3"/>
  <c r="C39" i="3"/>
  <c r="N39" i="3" s="1"/>
  <c r="D36" i="3"/>
  <c r="L40" i="3"/>
  <c r="D3" i="3"/>
  <c r="L7" i="3"/>
  <c r="L9" i="3"/>
  <c r="E12" i="3"/>
  <c r="N12" i="3" s="1"/>
  <c r="C22" i="3"/>
  <c r="C28" i="3"/>
  <c r="S28" i="3" s="1"/>
  <c r="J29" i="3"/>
  <c r="J5" i="3"/>
  <c r="E22" i="3"/>
  <c r="L25" i="3"/>
  <c r="M25" i="3" s="1"/>
  <c r="E28" i="3"/>
  <c r="K29" i="3"/>
  <c r="D35" i="3"/>
  <c r="C36" i="3"/>
  <c r="N36" i="3" s="1"/>
  <c r="L3" i="3"/>
  <c r="K17" i="3"/>
  <c r="C40" i="3"/>
  <c r="N40" i="3" s="1"/>
  <c r="J4" i="3"/>
  <c r="R4" i="3" s="1"/>
  <c r="T4" i="3" s="1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J9" i="3"/>
  <c r="O9" i="3" s="1"/>
  <c r="K10" i="3"/>
  <c r="L13" i="3"/>
  <c r="K14" i="3"/>
  <c r="E19" i="3"/>
  <c r="K24" i="3"/>
  <c r="J31" i="3"/>
  <c r="E32" i="3"/>
  <c r="L36" i="3"/>
  <c r="M36" i="3" s="1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L21" i="3"/>
  <c r="J23" i="3"/>
  <c r="M23" i="3" s="1"/>
  <c r="C24" i="3"/>
  <c r="S24" i="3" s="1"/>
  <c r="C26" i="3"/>
  <c r="D27" i="3"/>
  <c r="N28" i="3"/>
  <c r="K28" i="3"/>
  <c r="C30" i="3"/>
  <c r="D31" i="3"/>
  <c r="S32" i="3"/>
  <c r="K32" i="3"/>
  <c r="J33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E30" i="3"/>
  <c r="K33" i="3"/>
  <c r="K41" i="3"/>
  <c r="K5" i="3"/>
  <c r="J10" i="3"/>
  <c r="M10" i="3" s="1"/>
  <c r="E11" i="3"/>
  <c r="O13" i="3"/>
  <c r="K18" i="3"/>
  <c r="L27" i="3"/>
  <c r="M27" i="3" s="1"/>
  <c r="N30" i="3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C10" i="3"/>
  <c r="E10" i="3"/>
  <c r="D10" i="3"/>
  <c r="W13" i="3"/>
  <c r="S16" i="3"/>
  <c r="V18" i="3"/>
  <c r="Y18" i="3" s="1"/>
  <c r="N20" i="3"/>
  <c r="S22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P13" i="3"/>
  <c r="Q13" i="3" s="1"/>
  <c r="M14" i="3"/>
  <c r="J15" i="3"/>
  <c r="L15" i="3"/>
  <c r="K15" i="3"/>
  <c r="C18" i="3"/>
  <c r="E18" i="3"/>
  <c r="D18" i="3"/>
  <c r="M21" i="3"/>
  <c r="W22" i="3"/>
  <c r="V7" i="3"/>
  <c r="L8" i="3"/>
  <c r="W9" i="3"/>
  <c r="V14" i="3"/>
  <c r="Y14" i="3" s="1"/>
  <c r="S18" i="3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E41" i="3"/>
  <c r="D41" i="3"/>
  <c r="L34" i="3"/>
  <c r="K34" i="3"/>
  <c r="L38" i="3"/>
  <c r="K38" i="3"/>
  <c r="M33" i="3"/>
  <c r="J34" i="3"/>
  <c r="K35" i="3"/>
  <c r="J35" i="3"/>
  <c r="R36" i="3"/>
  <c r="M37" i="3"/>
  <c r="J38" i="3"/>
  <c r="K39" i="3"/>
  <c r="J39" i="3"/>
  <c r="M40" i="3"/>
  <c r="S34" i="3" l="1"/>
  <c r="S25" i="3"/>
  <c r="O10" i="3"/>
  <c r="S36" i="3"/>
  <c r="T36" i="3" s="1"/>
  <c r="M7" i="3"/>
  <c r="S39" i="3"/>
  <c r="N19" i="3"/>
  <c r="M4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M19" i="3"/>
  <c r="O25" i="3"/>
  <c r="Z22" i="3"/>
  <c r="X22" i="3"/>
  <c r="R11" i="3"/>
  <c r="T11" i="3" s="1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P25" i="3" s="1"/>
  <c r="Q25" i="3" s="1"/>
  <c r="R21" i="3"/>
  <c r="T21" i="3" s="1"/>
  <c r="O8" i="3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N37" i="3"/>
  <c r="P37" i="3" s="1"/>
  <c r="Q37" i="3" s="1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19" i="3" l="1"/>
  <c r="Q19" i="3" s="1"/>
  <c r="P27" i="3"/>
  <c r="Q27" i="3" s="1"/>
  <c r="P8" i="3"/>
  <c r="Q8" i="3" s="1"/>
  <c r="T7" i="3"/>
  <c r="P18" i="3"/>
  <c r="Q18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<sst xmlns="http://schemas.openxmlformats.org/spreadsheetml/2006/main" count="394" uniqueCount="37">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</sst>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opLeftCell="A109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42979.742893518516</v>
      </c>
      <c r="B2">
        <v>781.55719999999997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1.817034</v>
      </c>
      <c r="I2">
        <v>-4.117</v>
      </c>
      <c r="J2">
        <v>349.75900000000001</v>
      </c>
      <c r="K2">
        <v>359.37150000000003</v>
      </c>
      <c r="L2">
        <v>356.78449999999998</v>
      </c>
    </row>
    <row r="3" spans="1:12" x14ac:dyDescent="0.2">
      <c r="A3" s="1">
        <v>42979.743298611109</v>
      </c>
      <c r="B3">
        <v>816.31659999999999</v>
      </c>
      <c r="C3">
        <v>0</v>
      </c>
      <c r="D3" t="s">
        <v>35</v>
      </c>
      <c r="E3" t="s">
        <v>0</v>
      </c>
      <c r="F3" t="s">
        <v>1</v>
      </c>
      <c r="G3">
        <v>-0.92973669999999997</v>
      </c>
      <c r="H3">
        <v>1.7995490000000001</v>
      </c>
      <c r="I3">
        <v>-4.2296630000000004</v>
      </c>
      <c r="J3">
        <v>0.96019880000000002</v>
      </c>
      <c r="K3">
        <v>281.19600000000003</v>
      </c>
      <c r="L3">
        <v>355.01409999999998</v>
      </c>
    </row>
    <row r="4" spans="1:12" x14ac:dyDescent="0.2">
      <c r="A4" s="1">
        <v>42979.744895833333</v>
      </c>
      <c r="B4">
        <v>955.27179999999998</v>
      </c>
      <c r="C4">
        <v>0</v>
      </c>
      <c r="D4" t="s">
        <v>36</v>
      </c>
      <c r="E4" t="s">
        <v>0</v>
      </c>
      <c r="F4" t="s">
        <v>1</v>
      </c>
      <c r="G4">
        <v>-17.112490000000001</v>
      </c>
      <c r="H4">
        <v>1.8015350000000001</v>
      </c>
      <c r="I4">
        <v>10.631830000000001</v>
      </c>
      <c r="J4">
        <v>4.44604</v>
      </c>
      <c r="K4">
        <v>212.1293</v>
      </c>
      <c r="L4">
        <v>352.17099999999999</v>
      </c>
    </row>
    <row r="5" spans="1:12" x14ac:dyDescent="0.2">
      <c r="A5" s="1">
        <v>42979.745104166665</v>
      </c>
      <c r="B5">
        <v>973.24459999999999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1.797714</v>
      </c>
      <c r="I5">
        <v>-4.3440000000000003</v>
      </c>
      <c r="J5">
        <v>6.8303700000000003</v>
      </c>
      <c r="K5">
        <v>211.8895</v>
      </c>
      <c r="L5">
        <v>354.68380000000002</v>
      </c>
    </row>
    <row r="6" spans="1:12" x14ac:dyDescent="0.2">
      <c r="A6" s="1">
        <v>42979.745243055557</v>
      </c>
      <c r="B6">
        <v>985.12630000000001</v>
      </c>
      <c r="C6">
        <v>1</v>
      </c>
      <c r="D6" t="s">
        <v>35</v>
      </c>
      <c r="E6" t="s">
        <v>2</v>
      </c>
      <c r="F6" t="s">
        <v>0</v>
      </c>
      <c r="G6">
        <v>3.5321899999999999</v>
      </c>
      <c r="H6">
        <v>1.800891</v>
      </c>
      <c r="I6">
        <v>-4.4052930000000003</v>
      </c>
      <c r="J6">
        <v>3.6576300000000002</v>
      </c>
      <c r="K6">
        <v>276.20060000000001</v>
      </c>
      <c r="L6">
        <v>355.52460000000002</v>
      </c>
    </row>
    <row r="7" spans="1:12" x14ac:dyDescent="0.2">
      <c r="A7" s="1">
        <v>42979.745428240742</v>
      </c>
      <c r="B7">
        <v>1000.3049999999999</v>
      </c>
      <c r="C7">
        <v>1</v>
      </c>
      <c r="D7" t="s">
        <v>36</v>
      </c>
      <c r="E7" t="s">
        <v>2</v>
      </c>
      <c r="F7" t="s">
        <v>0</v>
      </c>
      <c r="G7">
        <v>0.25153829999999999</v>
      </c>
      <c r="H7">
        <v>1.787458</v>
      </c>
      <c r="I7">
        <v>-4.120781</v>
      </c>
      <c r="J7">
        <v>14.92625</v>
      </c>
      <c r="K7">
        <v>16.345739999999999</v>
      </c>
      <c r="L7">
        <v>355.15499999999997</v>
      </c>
    </row>
    <row r="8" spans="1:12" x14ac:dyDescent="0.2">
      <c r="A8" s="1">
        <v>42979.745613425926</v>
      </c>
      <c r="B8">
        <v>1016.973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1.8097270000000001</v>
      </c>
      <c r="I8">
        <v>1.8169999999999999</v>
      </c>
      <c r="J8">
        <v>0.1161814</v>
      </c>
      <c r="K8">
        <v>13.138070000000001</v>
      </c>
      <c r="L8">
        <v>356.88529999999997</v>
      </c>
    </row>
    <row r="9" spans="1:12" x14ac:dyDescent="0.2">
      <c r="A9" s="1">
        <v>42979.745682870373</v>
      </c>
      <c r="B9">
        <v>1022.797</v>
      </c>
      <c r="C9">
        <v>2</v>
      </c>
      <c r="D9" t="s">
        <v>35</v>
      </c>
      <c r="E9" t="s">
        <v>3</v>
      </c>
      <c r="F9" t="s">
        <v>4</v>
      </c>
      <c r="G9">
        <v>3.3313000000000001</v>
      </c>
      <c r="H9">
        <v>1.7943979999999999</v>
      </c>
      <c r="I9">
        <v>1.9942420000000001</v>
      </c>
      <c r="J9">
        <v>8.8986780000000003</v>
      </c>
      <c r="K9">
        <v>91.206389999999999</v>
      </c>
      <c r="L9">
        <v>354.82740000000001</v>
      </c>
    </row>
    <row r="10" spans="1:12" x14ac:dyDescent="0.2">
      <c r="A10" s="1">
        <v>42979.745868055557</v>
      </c>
      <c r="B10">
        <v>1039.0640000000001</v>
      </c>
      <c r="C10">
        <v>2</v>
      </c>
      <c r="D10" t="s">
        <v>36</v>
      </c>
      <c r="E10" t="s">
        <v>3</v>
      </c>
      <c r="F10" t="s">
        <v>4</v>
      </c>
      <c r="G10">
        <v>6.3038650000000001</v>
      </c>
      <c r="H10">
        <v>1.7909109999999999</v>
      </c>
      <c r="I10">
        <v>-0.37894169999999999</v>
      </c>
      <c r="J10">
        <v>9.2153209999999994</v>
      </c>
      <c r="K10">
        <v>3.0778819999999998</v>
      </c>
      <c r="L10">
        <v>355.82119999999998</v>
      </c>
    </row>
    <row r="11" spans="1:12" x14ac:dyDescent="0.2">
      <c r="A11" s="1">
        <v>42979.745891203704</v>
      </c>
      <c r="B11">
        <v>1040.2860000000001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1.799229</v>
      </c>
      <c r="I11">
        <v>4.1399999999999997</v>
      </c>
      <c r="J11">
        <v>6.5361750000000001</v>
      </c>
      <c r="K11">
        <v>0.52419819999999995</v>
      </c>
      <c r="L11">
        <v>356.78879999999998</v>
      </c>
    </row>
    <row r="12" spans="1:12" x14ac:dyDescent="0.2">
      <c r="A12" s="1">
        <v>42979.746099537035</v>
      </c>
      <c r="B12">
        <v>1058.511</v>
      </c>
      <c r="C12">
        <v>3</v>
      </c>
      <c r="D12" t="s">
        <v>35</v>
      </c>
      <c r="E12" t="s">
        <v>1</v>
      </c>
      <c r="F12" t="s">
        <v>5</v>
      </c>
      <c r="G12">
        <v>-4.0264569999999997</v>
      </c>
      <c r="H12">
        <v>1.792262</v>
      </c>
      <c r="I12">
        <v>4.1981909999999996</v>
      </c>
      <c r="J12">
        <v>11.178290000000001</v>
      </c>
      <c r="K12">
        <v>334.99939999999998</v>
      </c>
      <c r="L12">
        <v>356.48009999999999</v>
      </c>
    </row>
    <row r="13" spans="1:12" x14ac:dyDescent="0.2">
      <c r="A13" s="1">
        <v>42979.746400462966</v>
      </c>
      <c r="B13">
        <v>1084.586</v>
      </c>
      <c r="C13">
        <v>3</v>
      </c>
      <c r="D13" t="s">
        <v>36</v>
      </c>
      <c r="E13" t="s">
        <v>1</v>
      </c>
      <c r="F13" t="s">
        <v>5</v>
      </c>
      <c r="G13">
        <v>-2.0074550000000002</v>
      </c>
      <c r="H13">
        <v>1.785968</v>
      </c>
      <c r="I13">
        <v>-3.31568</v>
      </c>
      <c r="J13">
        <v>13.642749999999999</v>
      </c>
      <c r="K13">
        <v>46.297710000000002</v>
      </c>
      <c r="L13">
        <v>356.75810000000001</v>
      </c>
    </row>
    <row r="14" spans="1:12" x14ac:dyDescent="0.2">
      <c r="A14" s="1">
        <v>42979.746423611112</v>
      </c>
      <c r="B14">
        <v>1086.5940000000001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1.812462</v>
      </c>
      <c r="I14">
        <v>-0.67300000000000004</v>
      </c>
      <c r="J14">
        <v>358.33499999999998</v>
      </c>
      <c r="K14">
        <v>46.95532</v>
      </c>
      <c r="L14">
        <v>356.64260000000002</v>
      </c>
    </row>
    <row r="15" spans="1:12" x14ac:dyDescent="0.2">
      <c r="A15" s="1">
        <v>42979.746527777781</v>
      </c>
      <c r="B15">
        <v>1095.6980000000001</v>
      </c>
      <c r="C15">
        <v>4</v>
      </c>
      <c r="D15" t="s">
        <v>35</v>
      </c>
      <c r="E15" t="s">
        <v>4</v>
      </c>
      <c r="F15" t="s">
        <v>6</v>
      </c>
      <c r="G15">
        <v>4.0603280000000002</v>
      </c>
      <c r="H15">
        <v>1.8183819999999999</v>
      </c>
      <c r="I15">
        <v>-0.74307540000000005</v>
      </c>
      <c r="J15">
        <v>356.69830000000002</v>
      </c>
      <c r="K15">
        <v>255.41390000000001</v>
      </c>
      <c r="L15">
        <v>353.35379999999998</v>
      </c>
    </row>
    <row r="16" spans="1:12" x14ac:dyDescent="0.2">
      <c r="A16" s="1">
        <v>42979.74695601852</v>
      </c>
      <c r="B16">
        <v>1132.316</v>
      </c>
      <c r="C16">
        <v>4</v>
      </c>
      <c r="D16" t="s">
        <v>36</v>
      </c>
      <c r="E16" t="s">
        <v>4</v>
      </c>
      <c r="F16" t="s">
        <v>6</v>
      </c>
      <c r="G16">
        <v>-5.7552789999999998</v>
      </c>
      <c r="H16">
        <v>1.790843</v>
      </c>
      <c r="I16">
        <v>0.47324189999999999</v>
      </c>
      <c r="J16">
        <v>10.33929</v>
      </c>
      <c r="K16">
        <v>334.20069999999998</v>
      </c>
      <c r="L16">
        <v>355.14830000000001</v>
      </c>
    </row>
    <row r="17" spans="1:12" x14ac:dyDescent="0.2">
      <c r="A17" s="1">
        <v>42979.746967592589</v>
      </c>
      <c r="B17">
        <v>1133.8900000000001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1.811957</v>
      </c>
      <c r="I17">
        <v>-4.117</v>
      </c>
      <c r="J17">
        <v>358.84800000000001</v>
      </c>
      <c r="K17">
        <v>330.21190000000001</v>
      </c>
      <c r="L17">
        <v>356.74459999999999</v>
      </c>
    </row>
    <row r="18" spans="1:12" x14ac:dyDescent="0.2">
      <c r="A18" s="1">
        <v>42979.747048611112</v>
      </c>
      <c r="B18">
        <v>1140.316</v>
      </c>
      <c r="C18">
        <v>5</v>
      </c>
      <c r="D18" t="s">
        <v>35</v>
      </c>
      <c r="E18" t="s">
        <v>0</v>
      </c>
      <c r="F18" t="s">
        <v>1</v>
      </c>
      <c r="G18">
        <v>-0.75278400000000001</v>
      </c>
      <c r="H18">
        <v>1.8132809999999999</v>
      </c>
      <c r="I18">
        <v>-4.1766829999999997</v>
      </c>
      <c r="J18">
        <v>355.17869999999999</v>
      </c>
      <c r="K18">
        <v>87.782039999999995</v>
      </c>
      <c r="L18">
        <v>357.06279999999998</v>
      </c>
    </row>
    <row r="19" spans="1:12" x14ac:dyDescent="0.2">
      <c r="A19" s="1">
        <v>42979.747291666667</v>
      </c>
      <c r="B19">
        <v>1161.9559999999999</v>
      </c>
      <c r="C19">
        <v>5</v>
      </c>
      <c r="D19" t="s">
        <v>36</v>
      </c>
      <c r="E19" t="s">
        <v>0</v>
      </c>
      <c r="F19" t="s">
        <v>1</v>
      </c>
      <c r="G19">
        <v>-6.6838090000000001</v>
      </c>
      <c r="H19">
        <v>1.8036449999999999</v>
      </c>
      <c r="I19">
        <v>0.77504209999999996</v>
      </c>
      <c r="J19">
        <v>5.131621</v>
      </c>
      <c r="K19">
        <v>43.8035</v>
      </c>
      <c r="L19">
        <v>354.25900000000001</v>
      </c>
    </row>
    <row r="20" spans="1:12" x14ac:dyDescent="0.2">
      <c r="A20" s="1">
        <v>42979.747314814813</v>
      </c>
      <c r="B20">
        <v>1163.68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1.812619</v>
      </c>
      <c r="I20">
        <v>-1.4059999999999999</v>
      </c>
      <c r="J20">
        <v>358.54640000000001</v>
      </c>
      <c r="K20">
        <v>39.72804</v>
      </c>
      <c r="L20">
        <v>356.59710000000001</v>
      </c>
    </row>
    <row r="21" spans="1:12" x14ac:dyDescent="0.2">
      <c r="A21" s="1">
        <v>42979.747499999998</v>
      </c>
      <c r="B21">
        <v>1179.6949999999999</v>
      </c>
      <c r="C21">
        <v>6</v>
      </c>
      <c r="D21" t="s">
        <v>35</v>
      </c>
      <c r="E21" t="s">
        <v>33</v>
      </c>
      <c r="F21" t="s">
        <v>3</v>
      </c>
      <c r="G21">
        <v>-3.8618980000000001</v>
      </c>
      <c r="H21">
        <v>1.805585</v>
      </c>
      <c r="I21">
        <v>-1.40446</v>
      </c>
      <c r="J21">
        <v>2.2069179999999999</v>
      </c>
      <c r="K21">
        <v>191.24629999999999</v>
      </c>
      <c r="L21">
        <v>356.02569999999997</v>
      </c>
    </row>
    <row r="22" spans="1:12" x14ac:dyDescent="0.2">
      <c r="A22" s="1">
        <v>42979.747881944444</v>
      </c>
      <c r="B22">
        <v>1213.0329999999999</v>
      </c>
      <c r="C22">
        <v>6</v>
      </c>
      <c r="D22" t="s">
        <v>36</v>
      </c>
      <c r="E22" t="s">
        <v>33</v>
      </c>
      <c r="F22" t="s">
        <v>3</v>
      </c>
      <c r="G22">
        <v>1.7841359999999999</v>
      </c>
      <c r="H22">
        <v>1.7860279999999999</v>
      </c>
      <c r="I22">
        <v>-9.7805110000000006</v>
      </c>
      <c r="J22">
        <v>13.10427</v>
      </c>
      <c r="K22">
        <v>66.446010000000001</v>
      </c>
      <c r="L22">
        <v>354.38</v>
      </c>
    </row>
    <row r="23" spans="1:12" x14ac:dyDescent="0.2">
      <c r="A23" s="1">
        <v>42979.747916666667</v>
      </c>
      <c r="B23">
        <v>1215.4760000000001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1.814573</v>
      </c>
      <c r="I23">
        <v>4.1399999999999997</v>
      </c>
      <c r="J23">
        <v>356.68369999999999</v>
      </c>
      <c r="K23">
        <v>64.090869999999995</v>
      </c>
      <c r="L23">
        <v>357.72190000000001</v>
      </c>
    </row>
    <row r="24" spans="1:12" x14ac:dyDescent="0.2">
      <c r="A24" s="1">
        <v>42979.748148148145</v>
      </c>
      <c r="B24">
        <v>1235.2909999999999</v>
      </c>
      <c r="C24">
        <v>7</v>
      </c>
      <c r="D24" t="s">
        <v>35</v>
      </c>
      <c r="E24" t="s">
        <v>1</v>
      </c>
      <c r="F24" t="s">
        <v>5</v>
      </c>
      <c r="G24">
        <v>-4.0926150000000003</v>
      </c>
      <c r="H24">
        <v>1.8166739999999999</v>
      </c>
      <c r="I24">
        <v>4.1376549999999996</v>
      </c>
      <c r="J24">
        <v>351.38130000000001</v>
      </c>
      <c r="K24">
        <v>288.43860000000001</v>
      </c>
      <c r="L24">
        <v>357.50470000000001</v>
      </c>
    </row>
    <row r="25" spans="1:12" x14ac:dyDescent="0.2">
      <c r="A25" s="1">
        <v>42979.748425925929</v>
      </c>
      <c r="B25">
        <v>1259.7909999999999</v>
      </c>
      <c r="C25">
        <v>7</v>
      </c>
      <c r="D25" t="s">
        <v>36</v>
      </c>
      <c r="E25" t="s">
        <v>1</v>
      </c>
      <c r="F25" t="s">
        <v>5</v>
      </c>
      <c r="G25">
        <v>2.102576</v>
      </c>
      <c r="H25">
        <v>1.799191</v>
      </c>
      <c r="I25">
        <v>5.9153010000000004</v>
      </c>
      <c r="J25">
        <v>5.9919130000000003</v>
      </c>
      <c r="K25">
        <v>9.3505690000000001</v>
      </c>
      <c r="L25">
        <v>353.99919999999997</v>
      </c>
    </row>
    <row r="26" spans="1:12" x14ac:dyDescent="0.2">
      <c r="A26" s="1">
        <v>42979.748449074075</v>
      </c>
      <c r="B26">
        <v>1261.6320000000001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1.8159529999999999</v>
      </c>
      <c r="I26">
        <v>-4.3440000000000003</v>
      </c>
      <c r="J26">
        <v>355.71300000000002</v>
      </c>
      <c r="K26">
        <v>6.1686709999999998</v>
      </c>
      <c r="L26">
        <v>357.53629999999998</v>
      </c>
    </row>
    <row r="27" spans="1:12" x14ac:dyDescent="0.2">
      <c r="A27" s="1">
        <v>42979.748506944445</v>
      </c>
      <c r="B27">
        <v>1266.82</v>
      </c>
      <c r="C27">
        <v>8</v>
      </c>
      <c r="D27" t="s">
        <v>35</v>
      </c>
      <c r="E27" t="s">
        <v>2</v>
      </c>
      <c r="F27" t="s">
        <v>0</v>
      </c>
      <c r="G27">
        <v>3.5134460000000001</v>
      </c>
      <c r="H27">
        <v>1.823156</v>
      </c>
      <c r="I27">
        <v>-4.3904839999999998</v>
      </c>
      <c r="J27">
        <v>347.64089999999999</v>
      </c>
      <c r="K27">
        <v>300.91759999999999</v>
      </c>
      <c r="L27">
        <v>355.88209999999998</v>
      </c>
    </row>
    <row r="28" spans="1:12" x14ac:dyDescent="0.2">
      <c r="A28" s="1">
        <v>42979.748657407406</v>
      </c>
      <c r="B28">
        <v>1279.7560000000001</v>
      </c>
      <c r="C28">
        <v>8</v>
      </c>
      <c r="D28" t="s">
        <v>36</v>
      </c>
      <c r="E28" t="s">
        <v>2</v>
      </c>
      <c r="F28" t="s">
        <v>0</v>
      </c>
      <c r="G28">
        <v>9.8968979999999998E-2</v>
      </c>
      <c r="H28">
        <v>1.8154669999999999</v>
      </c>
      <c r="I28">
        <v>-4.5479940000000001</v>
      </c>
      <c r="J28">
        <v>359.25029999999998</v>
      </c>
      <c r="K28">
        <v>22.580200000000001</v>
      </c>
      <c r="L28">
        <v>354.40390000000002</v>
      </c>
    </row>
    <row r="29" spans="1:12" x14ac:dyDescent="0.2">
      <c r="A29" s="1">
        <v>42979.748668981483</v>
      </c>
      <c r="B29">
        <v>1280.9949999999999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1.8191870000000001</v>
      </c>
      <c r="I29">
        <v>-1.4059999999999999</v>
      </c>
      <c r="J29">
        <v>357.22149999999999</v>
      </c>
      <c r="K29">
        <v>22.91272</v>
      </c>
      <c r="L29">
        <v>358.20690000000002</v>
      </c>
    </row>
    <row r="30" spans="1:12" x14ac:dyDescent="0.2">
      <c r="A30" s="1">
        <v>42979.748761574076</v>
      </c>
      <c r="B30">
        <v>1289.078</v>
      </c>
      <c r="C30">
        <v>9</v>
      </c>
      <c r="D30" t="s">
        <v>35</v>
      </c>
      <c r="E30" t="s">
        <v>33</v>
      </c>
      <c r="F30" t="s">
        <v>3</v>
      </c>
      <c r="G30">
        <v>-3.9797120000000001</v>
      </c>
      <c r="H30">
        <v>1.806762</v>
      </c>
      <c r="I30">
        <v>-1.3212539999999999</v>
      </c>
      <c r="J30">
        <v>352.94909999999999</v>
      </c>
      <c r="K30">
        <v>129.363</v>
      </c>
      <c r="L30">
        <v>354.12520000000001</v>
      </c>
    </row>
    <row r="31" spans="1:12" x14ac:dyDescent="0.2">
      <c r="A31" s="1">
        <v>42979.749016203707</v>
      </c>
      <c r="B31">
        <v>1311.068</v>
      </c>
      <c r="C31">
        <v>9</v>
      </c>
      <c r="D31" t="s">
        <v>36</v>
      </c>
      <c r="E31" t="s">
        <v>33</v>
      </c>
      <c r="F31" t="s">
        <v>3</v>
      </c>
      <c r="G31">
        <v>1.6563540000000001</v>
      </c>
      <c r="H31">
        <v>1.7974000000000001</v>
      </c>
      <c r="I31">
        <v>3.1206480000000001</v>
      </c>
      <c r="J31">
        <v>5.3088249999999997</v>
      </c>
      <c r="K31">
        <v>183.13489999999999</v>
      </c>
      <c r="L31">
        <v>356.36739999999998</v>
      </c>
    </row>
    <row r="32" spans="1:12" x14ac:dyDescent="0.2">
      <c r="A32" s="1">
        <v>42979.749039351853</v>
      </c>
      <c r="B32">
        <v>1313.21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1.8169850000000001</v>
      </c>
      <c r="I32">
        <v>2.7240000000000002</v>
      </c>
      <c r="J32">
        <v>355.255</v>
      </c>
      <c r="K32">
        <v>184.56819999999999</v>
      </c>
      <c r="L32">
        <v>356.0915</v>
      </c>
    </row>
    <row r="33" spans="1:12" x14ac:dyDescent="0.2">
      <c r="A33" s="1">
        <v>42979.749097222222</v>
      </c>
      <c r="B33">
        <v>1317.3440000000001</v>
      </c>
      <c r="C33">
        <v>10</v>
      </c>
      <c r="D33" t="s">
        <v>35</v>
      </c>
      <c r="E33" t="s">
        <v>5</v>
      </c>
      <c r="F33" t="s">
        <v>2</v>
      </c>
      <c r="G33">
        <v>9.776841E-2</v>
      </c>
      <c r="H33">
        <v>1.821472</v>
      </c>
      <c r="I33">
        <v>2.7422559999999998</v>
      </c>
      <c r="J33">
        <v>353.39679999999998</v>
      </c>
      <c r="K33">
        <v>143.09200000000001</v>
      </c>
      <c r="L33">
        <v>355.77179999999998</v>
      </c>
    </row>
    <row r="34" spans="1:12" x14ac:dyDescent="0.2">
      <c r="A34" s="1">
        <v>42979.749513888892</v>
      </c>
      <c r="B34">
        <v>1353.34</v>
      </c>
      <c r="C34">
        <v>10</v>
      </c>
      <c r="D34" t="s">
        <v>36</v>
      </c>
      <c r="E34" t="s">
        <v>5</v>
      </c>
      <c r="F34" t="s">
        <v>2</v>
      </c>
      <c r="G34">
        <v>7.2648190000000001</v>
      </c>
      <c r="H34">
        <v>1.808859</v>
      </c>
      <c r="I34">
        <v>-1.8607480000000001</v>
      </c>
      <c r="J34">
        <v>1.049547</v>
      </c>
      <c r="K34">
        <v>97.575729999999993</v>
      </c>
      <c r="L34">
        <v>356.16719999999998</v>
      </c>
    </row>
    <row r="35" spans="1:12" x14ac:dyDescent="0.2">
      <c r="A35" s="1">
        <v>42979.749537037038</v>
      </c>
      <c r="B35">
        <v>1355.8510000000001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1.8161389999999999</v>
      </c>
      <c r="I35">
        <v>-4.117</v>
      </c>
      <c r="J35">
        <v>352.8503</v>
      </c>
      <c r="K35">
        <v>98.000420000000005</v>
      </c>
      <c r="L35">
        <v>358.03070000000002</v>
      </c>
    </row>
    <row r="36" spans="1:12" x14ac:dyDescent="0.2">
      <c r="A36" s="1">
        <v>42979.749583333331</v>
      </c>
      <c r="B36">
        <v>1359.298</v>
      </c>
      <c r="C36">
        <v>11</v>
      </c>
      <c r="D36" t="s">
        <v>35</v>
      </c>
      <c r="E36" t="s">
        <v>0</v>
      </c>
      <c r="F36" t="s">
        <v>1</v>
      </c>
      <c r="G36">
        <v>-0.64402559999999998</v>
      </c>
      <c r="H36">
        <v>1.818152</v>
      </c>
      <c r="I36">
        <v>-4.2031349999999996</v>
      </c>
      <c r="J36">
        <v>352.46899999999999</v>
      </c>
      <c r="K36">
        <v>344.80270000000002</v>
      </c>
      <c r="L36">
        <v>357.3877</v>
      </c>
    </row>
    <row r="37" spans="1:12" x14ac:dyDescent="0.2">
      <c r="A37" s="1">
        <v>42979.749895833331</v>
      </c>
      <c r="B37">
        <v>1386.576</v>
      </c>
      <c r="C37">
        <v>11</v>
      </c>
      <c r="D37" t="s">
        <v>36</v>
      </c>
      <c r="E37" t="s">
        <v>0</v>
      </c>
      <c r="F37" t="s">
        <v>1</v>
      </c>
      <c r="G37">
        <v>-4.7033440000000004</v>
      </c>
      <c r="H37">
        <v>1.82335</v>
      </c>
      <c r="I37">
        <v>2.7680639999999999</v>
      </c>
      <c r="J37">
        <v>8.6526359999999997E-2</v>
      </c>
      <c r="K37">
        <v>314.88819999999998</v>
      </c>
      <c r="L37">
        <v>356.12</v>
      </c>
    </row>
    <row r="38" spans="1:12" x14ac:dyDescent="0.2">
      <c r="A38" s="1">
        <v>42979.749907407408</v>
      </c>
      <c r="B38">
        <v>1387.748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1.8323430000000001</v>
      </c>
      <c r="I38">
        <v>1.8169999999999999</v>
      </c>
      <c r="J38">
        <v>349.78129999999999</v>
      </c>
      <c r="K38">
        <v>314.06119999999999</v>
      </c>
      <c r="L38">
        <v>356.00330000000002</v>
      </c>
    </row>
    <row r="39" spans="1:12" x14ac:dyDescent="0.2">
      <c r="A39" s="1">
        <v>42979.7499537037</v>
      </c>
      <c r="B39">
        <v>1391.463</v>
      </c>
      <c r="C39">
        <v>12</v>
      </c>
      <c r="D39" t="s">
        <v>35</v>
      </c>
      <c r="E39" t="s">
        <v>3</v>
      </c>
      <c r="F39" t="s">
        <v>4</v>
      </c>
      <c r="G39">
        <v>3.4015930000000001</v>
      </c>
      <c r="H39">
        <v>1.8214330000000001</v>
      </c>
      <c r="I39">
        <v>1.8280989999999999</v>
      </c>
      <c r="J39">
        <v>358.96719999999999</v>
      </c>
      <c r="K39">
        <v>341.20929999999998</v>
      </c>
      <c r="L39">
        <v>354.73950000000002</v>
      </c>
    </row>
    <row r="40" spans="1:12" x14ac:dyDescent="0.2">
      <c r="A40" s="1">
        <v>42979.750150462962</v>
      </c>
      <c r="B40">
        <v>1409.087</v>
      </c>
      <c r="C40">
        <v>12</v>
      </c>
      <c r="D40" t="s">
        <v>36</v>
      </c>
      <c r="E40" t="s">
        <v>3</v>
      </c>
      <c r="F40" t="s">
        <v>4</v>
      </c>
      <c r="G40">
        <v>6.8051199999999996</v>
      </c>
      <c r="H40">
        <v>1.8117449999999999</v>
      </c>
      <c r="I40">
        <v>-2.40279</v>
      </c>
      <c r="J40">
        <v>2.2335349999999998</v>
      </c>
      <c r="K40">
        <v>287.82960000000003</v>
      </c>
      <c r="L40">
        <v>356.82459999999998</v>
      </c>
    </row>
    <row r="41" spans="1:12" x14ac:dyDescent="0.2">
      <c r="A41" s="1">
        <v>42979.750162037039</v>
      </c>
      <c r="B41">
        <v>1410.1579999999999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1.8207310000000001</v>
      </c>
      <c r="I41">
        <v>-1.4059999999999999</v>
      </c>
      <c r="J41">
        <v>353.90449999999998</v>
      </c>
      <c r="K41">
        <v>288.8664</v>
      </c>
      <c r="L41">
        <v>356.89359999999999</v>
      </c>
    </row>
    <row r="42" spans="1:12" x14ac:dyDescent="0.2">
      <c r="A42" s="1">
        <v>42979.750243055554</v>
      </c>
      <c r="B42">
        <v>1416.6679999999999</v>
      </c>
      <c r="C42">
        <v>13</v>
      </c>
      <c r="D42" t="s">
        <v>35</v>
      </c>
      <c r="E42" t="s">
        <v>33</v>
      </c>
      <c r="F42" t="s">
        <v>3</v>
      </c>
      <c r="G42">
        <v>-3.9634520000000002</v>
      </c>
      <c r="H42">
        <v>1.8206640000000001</v>
      </c>
      <c r="I42">
        <v>-1.3642719999999999</v>
      </c>
      <c r="J42">
        <v>346.90269999999998</v>
      </c>
      <c r="K42">
        <v>152.70150000000001</v>
      </c>
      <c r="L42">
        <v>356.91410000000002</v>
      </c>
    </row>
    <row r="43" spans="1:12" x14ac:dyDescent="0.2">
      <c r="A43" s="1">
        <v>42979.750601851854</v>
      </c>
      <c r="B43">
        <v>1447.579</v>
      </c>
      <c r="C43">
        <v>13</v>
      </c>
      <c r="D43" t="s">
        <v>36</v>
      </c>
      <c r="E43" t="s">
        <v>33</v>
      </c>
      <c r="F43" t="s">
        <v>3</v>
      </c>
      <c r="G43">
        <v>2.006618</v>
      </c>
      <c r="H43">
        <v>1.816643</v>
      </c>
      <c r="I43">
        <v>6.6083999999999996</v>
      </c>
      <c r="J43">
        <v>2.5405310000000001</v>
      </c>
      <c r="K43">
        <v>202.70869999999999</v>
      </c>
      <c r="L43">
        <v>354.62630000000001</v>
      </c>
    </row>
    <row r="44" spans="1:12" x14ac:dyDescent="0.2">
      <c r="A44" s="1">
        <v>42979.750613425924</v>
      </c>
      <c r="B44">
        <v>1448.9179999999999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1.8260700000000001</v>
      </c>
      <c r="I44">
        <v>2.7240000000000002</v>
      </c>
      <c r="J44">
        <v>350.23820000000001</v>
      </c>
      <c r="K44">
        <v>204.95400000000001</v>
      </c>
      <c r="L44">
        <v>355.77550000000002</v>
      </c>
    </row>
    <row r="45" spans="1:12" x14ac:dyDescent="0.2">
      <c r="A45" s="1">
        <v>42979.750752314816</v>
      </c>
      <c r="B45">
        <v>1460.3320000000001</v>
      </c>
      <c r="C45">
        <v>14</v>
      </c>
      <c r="D45" t="s">
        <v>35</v>
      </c>
      <c r="E45" t="s">
        <v>5</v>
      </c>
      <c r="F45" t="s">
        <v>2</v>
      </c>
      <c r="G45">
        <v>0.31323889999999999</v>
      </c>
      <c r="H45">
        <v>1.813483</v>
      </c>
      <c r="I45">
        <v>3.0337290000000001</v>
      </c>
      <c r="J45">
        <v>2.2085409999999999</v>
      </c>
      <c r="K45">
        <v>49.530349999999999</v>
      </c>
      <c r="L45">
        <v>357.17219999999998</v>
      </c>
    </row>
    <row r="46" spans="1:12" x14ac:dyDescent="0.2">
      <c r="A46" s="1">
        <v>42979.751168981478</v>
      </c>
      <c r="B46">
        <v>1496.81</v>
      </c>
      <c r="C46">
        <v>14</v>
      </c>
      <c r="D46" t="s">
        <v>36</v>
      </c>
      <c r="E46" t="s">
        <v>5</v>
      </c>
      <c r="F46" t="s">
        <v>2</v>
      </c>
      <c r="G46">
        <v>4.9743339999999998</v>
      </c>
      <c r="H46">
        <v>1.8044880000000001</v>
      </c>
      <c r="I46">
        <v>-4.7438979999999997</v>
      </c>
      <c r="J46">
        <v>2.6614559999999998</v>
      </c>
      <c r="K46">
        <v>342.62799999999999</v>
      </c>
      <c r="L46">
        <v>357.32010000000002</v>
      </c>
    </row>
    <row r="47" spans="1:12" x14ac:dyDescent="0.2">
      <c r="A47" s="1">
        <v>42979.751180555555</v>
      </c>
      <c r="B47">
        <v>1498.3330000000001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1.8009520000000001</v>
      </c>
      <c r="I47">
        <v>0.09</v>
      </c>
      <c r="J47">
        <v>5.5074269999999999</v>
      </c>
      <c r="K47">
        <v>343.31110000000001</v>
      </c>
      <c r="L47">
        <v>357.26960000000003</v>
      </c>
    </row>
    <row r="48" spans="1:12" x14ac:dyDescent="0.2">
      <c r="A48" s="1">
        <v>42979.751273148147</v>
      </c>
      <c r="B48">
        <v>1505.797</v>
      </c>
      <c r="C48">
        <v>15</v>
      </c>
      <c r="D48" t="s">
        <v>35</v>
      </c>
      <c r="E48" t="s">
        <v>6</v>
      </c>
      <c r="F48" t="s">
        <v>33</v>
      </c>
      <c r="G48">
        <v>-4.3048310000000001</v>
      </c>
      <c r="H48">
        <v>1.7804610000000001</v>
      </c>
      <c r="I48">
        <v>0.17136080000000001</v>
      </c>
      <c r="J48">
        <v>5.4098699999999997</v>
      </c>
      <c r="K48">
        <v>103.41970000000001</v>
      </c>
      <c r="L48">
        <v>356.18349999999998</v>
      </c>
    </row>
    <row r="49" spans="1:12" x14ac:dyDescent="0.2">
      <c r="A49" s="1">
        <v>42979.751539351855</v>
      </c>
      <c r="B49">
        <v>1528.6089999999999</v>
      </c>
      <c r="C49">
        <v>15</v>
      </c>
      <c r="D49" t="s">
        <v>36</v>
      </c>
      <c r="E49" t="s">
        <v>6</v>
      </c>
      <c r="F49" t="s">
        <v>33</v>
      </c>
      <c r="G49">
        <v>0.33321430000000002</v>
      </c>
      <c r="H49">
        <v>1.8228770000000001</v>
      </c>
      <c r="I49">
        <v>2.5869780000000002</v>
      </c>
      <c r="J49">
        <v>349.90640000000002</v>
      </c>
      <c r="K49">
        <v>52.47242</v>
      </c>
      <c r="L49">
        <v>354.01940000000002</v>
      </c>
    </row>
    <row r="50" spans="1:12" x14ac:dyDescent="0.2">
      <c r="A50" s="1">
        <v>42979.751550925925</v>
      </c>
      <c r="B50">
        <v>1529.7639999999999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1.820899</v>
      </c>
      <c r="I50">
        <v>-0.67300000000000004</v>
      </c>
      <c r="J50">
        <v>351.03899999999999</v>
      </c>
      <c r="K50">
        <v>51.169280000000001</v>
      </c>
      <c r="L50">
        <v>356.37220000000002</v>
      </c>
    </row>
    <row r="51" spans="1:12" x14ac:dyDescent="0.2">
      <c r="A51" s="1">
        <v>42979.751631944448</v>
      </c>
      <c r="B51">
        <v>1536.91</v>
      </c>
      <c r="C51">
        <v>16</v>
      </c>
      <c r="D51" t="s">
        <v>35</v>
      </c>
      <c r="E51" t="s">
        <v>4</v>
      </c>
      <c r="F51" t="s">
        <v>6</v>
      </c>
      <c r="G51">
        <v>3.8315239999999999</v>
      </c>
      <c r="H51">
        <v>1.8221499999999999</v>
      </c>
      <c r="I51">
        <v>-0.67894359999999998</v>
      </c>
      <c r="J51">
        <v>353.34840000000003</v>
      </c>
      <c r="K51">
        <v>351.05759999999998</v>
      </c>
      <c r="L51">
        <v>355.72519999999997</v>
      </c>
    </row>
    <row r="52" spans="1:12" x14ac:dyDescent="0.2">
      <c r="A52" s="1">
        <v>42979.751932870371</v>
      </c>
      <c r="B52">
        <v>1563.3030000000001</v>
      </c>
      <c r="C52">
        <v>16</v>
      </c>
      <c r="D52" t="s">
        <v>36</v>
      </c>
      <c r="E52" t="s">
        <v>4</v>
      </c>
      <c r="F52" t="s">
        <v>6</v>
      </c>
      <c r="G52">
        <v>-3.5035409999999998</v>
      </c>
      <c r="H52">
        <v>1.8137019999999999</v>
      </c>
      <c r="I52">
        <v>3.1975020000000001</v>
      </c>
      <c r="J52">
        <v>358.84269999999998</v>
      </c>
      <c r="K52">
        <v>288.68049999999999</v>
      </c>
      <c r="L52">
        <v>354.6875</v>
      </c>
    </row>
    <row r="53" spans="1:12" x14ac:dyDescent="0.2">
      <c r="A53" s="1">
        <v>42979.751956018517</v>
      </c>
      <c r="B53">
        <v>1564.3240000000001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1.8186040000000001</v>
      </c>
      <c r="I53">
        <v>1.8169999999999999</v>
      </c>
      <c r="J53">
        <v>358.14389999999997</v>
      </c>
      <c r="K53">
        <v>287.19630000000001</v>
      </c>
      <c r="L53">
        <v>356.19760000000002</v>
      </c>
    </row>
    <row r="54" spans="1:12" x14ac:dyDescent="0.2">
      <c r="A54" s="1">
        <v>42979.752013888887</v>
      </c>
      <c r="B54">
        <v>1569.3610000000001</v>
      </c>
      <c r="C54">
        <v>17</v>
      </c>
      <c r="D54" t="s">
        <v>35</v>
      </c>
      <c r="E54" t="s">
        <v>3</v>
      </c>
      <c r="F54" t="s">
        <v>4</v>
      </c>
      <c r="G54">
        <v>3.4942739999999999</v>
      </c>
      <c r="H54">
        <v>1.821391</v>
      </c>
      <c r="I54">
        <v>1.844044</v>
      </c>
      <c r="J54">
        <v>353.41539999999998</v>
      </c>
      <c r="K54">
        <v>351.23869999999999</v>
      </c>
      <c r="L54">
        <v>353.97430000000003</v>
      </c>
    </row>
    <row r="55" spans="1:12" x14ac:dyDescent="0.2">
      <c r="A55" s="1">
        <v>42979.752210648148</v>
      </c>
      <c r="B55">
        <v>1586.4480000000001</v>
      </c>
      <c r="C55">
        <v>17</v>
      </c>
      <c r="D55" t="s">
        <v>36</v>
      </c>
      <c r="E55" t="s">
        <v>3</v>
      </c>
      <c r="F55" t="s">
        <v>4</v>
      </c>
      <c r="G55">
        <v>5.786816</v>
      </c>
      <c r="H55">
        <v>1.820959</v>
      </c>
      <c r="I55">
        <v>-2.8573710000000001</v>
      </c>
      <c r="J55">
        <v>350.06990000000002</v>
      </c>
      <c r="K55">
        <v>342.99560000000002</v>
      </c>
      <c r="L55">
        <v>354.59660000000002</v>
      </c>
    </row>
    <row r="56" spans="1:12" x14ac:dyDescent="0.2">
      <c r="A56" s="1">
        <v>42979.752222222225</v>
      </c>
      <c r="B56">
        <v>1588.021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1.8147990000000001</v>
      </c>
      <c r="I56">
        <v>-4.3440000000000003</v>
      </c>
      <c r="J56">
        <v>353.31569999999999</v>
      </c>
      <c r="K56">
        <v>341.4391</v>
      </c>
      <c r="L56">
        <v>355.7765</v>
      </c>
    </row>
    <row r="57" spans="1:12" x14ac:dyDescent="0.2">
      <c r="A57" s="1">
        <v>42979.752280092594</v>
      </c>
      <c r="B57">
        <v>1592.289</v>
      </c>
      <c r="C57">
        <v>18</v>
      </c>
      <c r="D57" t="s">
        <v>35</v>
      </c>
      <c r="E57" t="s">
        <v>2</v>
      </c>
      <c r="F57" t="s">
        <v>0</v>
      </c>
      <c r="G57">
        <v>3.4838749999999998</v>
      </c>
      <c r="H57">
        <v>1.8145210000000001</v>
      </c>
      <c r="I57">
        <v>-4.4110430000000003</v>
      </c>
      <c r="J57">
        <v>350.42320000000001</v>
      </c>
      <c r="K57">
        <v>186.02420000000001</v>
      </c>
      <c r="L57">
        <v>356.05239999999998</v>
      </c>
    </row>
    <row r="58" spans="1:12" x14ac:dyDescent="0.2">
      <c r="A58" s="1">
        <v>42979.752430555556</v>
      </c>
      <c r="B58">
        <v>1605.9949999999999</v>
      </c>
      <c r="C58">
        <v>18</v>
      </c>
      <c r="D58" t="s">
        <v>36</v>
      </c>
      <c r="E58" t="s">
        <v>2</v>
      </c>
      <c r="F58" t="s">
        <v>0</v>
      </c>
      <c r="G58">
        <v>-0.84253290000000003</v>
      </c>
      <c r="H58">
        <v>1.8273459999999999</v>
      </c>
      <c r="I58">
        <v>-4.0405410000000002</v>
      </c>
      <c r="J58">
        <v>352.322</v>
      </c>
      <c r="K58">
        <v>264.56060000000002</v>
      </c>
      <c r="L58">
        <v>354.13819999999998</v>
      </c>
    </row>
    <row r="59" spans="1:12" x14ac:dyDescent="0.2">
      <c r="A59" s="1">
        <v>42979.752442129633</v>
      </c>
      <c r="B59">
        <v>1607.1669999999999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1.8238380000000001</v>
      </c>
      <c r="I59">
        <v>-0.67300000000000004</v>
      </c>
      <c r="J59">
        <v>354.19110000000001</v>
      </c>
      <c r="K59">
        <v>263.08699999999999</v>
      </c>
      <c r="L59">
        <v>357.11939999999998</v>
      </c>
    </row>
    <row r="60" spans="1:12" x14ac:dyDescent="0.2">
      <c r="A60" s="1">
        <v>42979.752569444441</v>
      </c>
      <c r="B60">
        <v>1617.576</v>
      </c>
      <c r="C60">
        <v>19</v>
      </c>
      <c r="D60" t="s">
        <v>35</v>
      </c>
      <c r="E60" t="s">
        <v>4</v>
      </c>
      <c r="F60" t="s">
        <v>6</v>
      </c>
      <c r="G60">
        <v>4.0773109999999999</v>
      </c>
      <c r="H60">
        <v>1.825412</v>
      </c>
      <c r="I60">
        <v>-0.79899759999999997</v>
      </c>
      <c r="J60">
        <v>353.89980000000003</v>
      </c>
      <c r="K60">
        <v>162.2388</v>
      </c>
      <c r="L60">
        <v>355.85829999999999</v>
      </c>
    </row>
    <row r="61" spans="1:12" x14ac:dyDescent="0.2">
      <c r="A61" s="1">
        <v>42979.753020833334</v>
      </c>
      <c r="B61">
        <v>1656.6010000000001</v>
      </c>
      <c r="C61">
        <v>19</v>
      </c>
      <c r="D61" t="s">
        <v>36</v>
      </c>
      <c r="E61" t="s">
        <v>4</v>
      </c>
      <c r="F61" t="s">
        <v>6</v>
      </c>
      <c r="G61">
        <v>-6.4204439999999998</v>
      </c>
      <c r="H61">
        <v>1.816729</v>
      </c>
      <c r="I61">
        <v>-0.34996860000000002</v>
      </c>
      <c r="J61">
        <v>356.90469999999999</v>
      </c>
      <c r="K61">
        <v>239.64529999999999</v>
      </c>
      <c r="L61">
        <v>355.2627</v>
      </c>
    </row>
    <row r="62" spans="1:12" x14ac:dyDescent="0.2">
      <c r="A62" s="1">
        <v>42979.753032407411</v>
      </c>
      <c r="B62">
        <v>1657.6220000000001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1.8112269999999999</v>
      </c>
      <c r="I62">
        <v>-1.4059999999999999</v>
      </c>
      <c r="J62">
        <v>357.90780000000001</v>
      </c>
      <c r="K62">
        <v>238.0772</v>
      </c>
      <c r="L62">
        <v>357.04790000000003</v>
      </c>
    </row>
    <row r="63" spans="1:12" x14ac:dyDescent="0.2">
      <c r="A63" s="1">
        <v>42979.753078703703</v>
      </c>
      <c r="B63">
        <v>1662.2239999999999</v>
      </c>
      <c r="C63">
        <v>20</v>
      </c>
      <c r="D63" t="s">
        <v>35</v>
      </c>
      <c r="E63" t="s">
        <v>33</v>
      </c>
      <c r="F63" t="s">
        <v>3</v>
      </c>
      <c r="G63">
        <v>-3.999371</v>
      </c>
      <c r="H63">
        <v>1.81203</v>
      </c>
      <c r="I63">
        <v>-1.185011</v>
      </c>
      <c r="J63">
        <v>359.05489999999998</v>
      </c>
      <c r="K63">
        <v>338.07769999999999</v>
      </c>
      <c r="L63">
        <v>356.59210000000002</v>
      </c>
    </row>
    <row r="64" spans="1:12" x14ac:dyDescent="0.2">
      <c r="A64" s="1">
        <v>42979.753449074073</v>
      </c>
      <c r="B64">
        <v>1694.0039999999999</v>
      </c>
      <c r="C64">
        <v>20</v>
      </c>
      <c r="D64" t="s">
        <v>36</v>
      </c>
      <c r="E64" t="s">
        <v>33</v>
      </c>
      <c r="F64" t="s">
        <v>3</v>
      </c>
      <c r="G64">
        <v>5.8587619999999996</v>
      </c>
      <c r="H64">
        <v>1.8193049999999999</v>
      </c>
      <c r="I64">
        <v>2.8263530000000001</v>
      </c>
      <c r="J64">
        <v>359.36090000000002</v>
      </c>
      <c r="K64">
        <v>49.074620000000003</v>
      </c>
      <c r="L64">
        <v>355.72620000000001</v>
      </c>
    </row>
    <row r="65" spans="1:12" x14ac:dyDescent="0.2">
      <c r="A65" s="1">
        <v>42979.753472222219</v>
      </c>
      <c r="B65">
        <v>1695.326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1.8103849999999999</v>
      </c>
      <c r="I65">
        <v>-4.117</v>
      </c>
      <c r="J65">
        <v>0.78892680000000004</v>
      </c>
      <c r="K65">
        <v>48.508920000000003</v>
      </c>
      <c r="L65">
        <v>356.2038</v>
      </c>
    </row>
    <row r="66" spans="1:12" x14ac:dyDescent="0.2">
      <c r="A66" s="1">
        <v>42979.753506944442</v>
      </c>
      <c r="B66">
        <v>1698.857</v>
      </c>
      <c r="C66">
        <v>21</v>
      </c>
      <c r="D66" t="s">
        <v>35</v>
      </c>
      <c r="E66" t="s">
        <v>0</v>
      </c>
      <c r="F66" t="s">
        <v>1</v>
      </c>
      <c r="G66">
        <v>-0.82699449999999997</v>
      </c>
      <c r="H66">
        <v>1.816084</v>
      </c>
      <c r="I66">
        <v>-4.1548600000000002</v>
      </c>
      <c r="J66">
        <v>356.5247</v>
      </c>
      <c r="K66">
        <v>338.53550000000001</v>
      </c>
      <c r="L66">
        <v>356.6508</v>
      </c>
    </row>
    <row r="67" spans="1:12" x14ac:dyDescent="0.2">
      <c r="A67" s="1">
        <v>42979.753819444442</v>
      </c>
      <c r="B67">
        <v>1725.7529999999999</v>
      </c>
      <c r="C67">
        <v>21</v>
      </c>
      <c r="D67" t="s">
        <v>36</v>
      </c>
      <c r="E67" t="s">
        <v>0</v>
      </c>
      <c r="F67" t="s">
        <v>1</v>
      </c>
      <c r="G67">
        <v>-5.7740859999999996</v>
      </c>
      <c r="H67">
        <v>1.8207599999999999</v>
      </c>
      <c r="I67">
        <v>2.626204</v>
      </c>
      <c r="J67">
        <v>359.34300000000002</v>
      </c>
      <c r="K67">
        <v>346.21300000000002</v>
      </c>
      <c r="L67">
        <v>355.27589999999998</v>
      </c>
    </row>
    <row r="68" spans="1:12" x14ac:dyDescent="0.2">
      <c r="A68" s="1">
        <v>42979.753831018519</v>
      </c>
      <c r="B68">
        <v>1726.8409999999999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1.8198939999999999</v>
      </c>
      <c r="I68">
        <v>4.1399999999999997</v>
      </c>
      <c r="J68">
        <v>358.1814</v>
      </c>
      <c r="K68">
        <v>344.27690000000001</v>
      </c>
      <c r="L68">
        <v>356.83980000000003</v>
      </c>
    </row>
    <row r="69" spans="1:12" x14ac:dyDescent="0.2">
      <c r="A69" s="1">
        <v>42979.753923611112</v>
      </c>
      <c r="B69">
        <v>1734.5730000000001</v>
      </c>
      <c r="C69">
        <v>22</v>
      </c>
      <c r="D69" t="s">
        <v>35</v>
      </c>
      <c r="E69" t="s">
        <v>1</v>
      </c>
      <c r="F69" t="s">
        <v>5</v>
      </c>
      <c r="G69">
        <v>-4.0237819999999997</v>
      </c>
      <c r="H69">
        <v>1.8190569999999999</v>
      </c>
      <c r="I69">
        <v>4.1099870000000003</v>
      </c>
      <c r="J69">
        <v>359.85759999999999</v>
      </c>
      <c r="K69">
        <v>23.85633</v>
      </c>
      <c r="L69">
        <v>352.53879999999998</v>
      </c>
    </row>
    <row r="70" spans="1:12" x14ac:dyDescent="0.2">
      <c r="A70" s="1">
        <v>42979.754282407404</v>
      </c>
      <c r="B70">
        <v>1765.8530000000001</v>
      </c>
      <c r="C70">
        <v>22</v>
      </c>
      <c r="D70" t="s">
        <v>36</v>
      </c>
      <c r="E70" t="s">
        <v>1</v>
      </c>
      <c r="F70" t="s">
        <v>5</v>
      </c>
      <c r="G70">
        <v>4.7017759999999997</v>
      </c>
      <c r="H70">
        <v>1.80369</v>
      </c>
      <c r="I70">
        <v>4.1903420000000002</v>
      </c>
      <c r="J70">
        <v>2.9472369999999999</v>
      </c>
      <c r="K70">
        <v>299.38290000000001</v>
      </c>
      <c r="L70">
        <v>356.57690000000002</v>
      </c>
    </row>
    <row r="71" spans="1:12" x14ac:dyDescent="0.2">
      <c r="A71" s="1">
        <v>42979.754293981481</v>
      </c>
      <c r="B71">
        <v>1767.075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1.803679</v>
      </c>
      <c r="I71">
        <v>0.09</v>
      </c>
      <c r="J71">
        <v>3.7780640000000001</v>
      </c>
      <c r="K71">
        <v>302.53399999999999</v>
      </c>
      <c r="L71">
        <v>357.78210000000001</v>
      </c>
    </row>
    <row r="72" spans="1:12" x14ac:dyDescent="0.2">
      <c r="A72" s="1">
        <v>42979.754386574074</v>
      </c>
      <c r="B72">
        <v>1774.422</v>
      </c>
      <c r="C72">
        <v>23</v>
      </c>
      <c r="D72" t="s">
        <v>35</v>
      </c>
      <c r="E72" t="s">
        <v>6</v>
      </c>
      <c r="F72" t="s">
        <v>33</v>
      </c>
      <c r="G72">
        <v>-4.1315710000000001</v>
      </c>
      <c r="H72">
        <v>1.6997990000000001</v>
      </c>
      <c r="I72">
        <v>0.42635119999999999</v>
      </c>
      <c r="J72">
        <v>33.416969999999999</v>
      </c>
      <c r="K72">
        <v>201.00299999999999</v>
      </c>
      <c r="L72">
        <v>359.61009999999999</v>
      </c>
    </row>
    <row r="73" spans="1:12" x14ac:dyDescent="0.2">
      <c r="A73" s="1">
        <v>42979.754652777781</v>
      </c>
      <c r="B73">
        <v>1798.0360000000001</v>
      </c>
      <c r="C73">
        <v>23</v>
      </c>
      <c r="D73" t="s">
        <v>36</v>
      </c>
      <c r="E73" t="s">
        <v>6</v>
      </c>
      <c r="F73" t="s">
        <v>33</v>
      </c>
      <c r="G73">
        <v>-0.89946219999999999</v>
      </c>
      <c r="H73">
        <v>1.8061469999999999</v>
      </c>
      <c r="I73">
        <v>-5.3808429999999996</v>
      </c>
      <c r="J73">
        <v>6.5147539999999999</v>
      </c>
      <c r="K73">
        <v>6.5193659999999998</v>
      </c>
      <c r="L73">
        <v>356.20179999999999</v>
      </c>
    </row>
    <row r="74" spans="1:12" x14ac:dyDescent="0.2">
      <c r="A74" s="1">
        <v>42979.754675925928</v>
      </c>
      <c r="B74">
        <v>1799.76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1.82419</v>
      </c>
      <c r="I74">
        <v>2.7240000000000002</v>
      </c>
      <c r="J74">
        <v>353.94749999999999</v>
      </c>
      <c r="K74">
        <v>7.381291</v>
      </c>
      <c r="L74">
        <v>356.13780000000003</v>
      </c>
    </row>
    <row r="75" spans="1:12" x14ac:dyDescent="0.2">
      <c r="A75" s="1">
        <v>42979.75472222222</v>
      </c>
      <c r="B75">
        <v>1803.693</v>
      </c>
      <c r="C75">
        <v>24</v>
      </c>
      <c r="D75" t="s">
        <v>35</v>
      </c>
      <c r="E75" t="s">
        <v>5</v>
      </c>
      <c r="F75" t="s">
        <v>2</v>
      </c>
      <c r="G75">
        <v>0.14861579999999999</v>
      </c>
      <c r="H75">
        <v>1.8194570000000001</v>
      </c>
      <c r="I75">
        <v>2.7770609999999998</v>
      </c>
      <c r="J75">
        <v>354.11649999999997</v>
      </c>
      <c r="K75">
        <v>224.4306</v>
      </c>
      <c r="L75">
        <v>357.6617</v>
      </c>
    </row>
    <row r="76" spans="1:12" x14ac:dyDescent="0.2">
      <c r="A76" s="1">
        <v>42979.754942129628</v>
      </c>
      <c r="B76">
        <v>1822.5530000000001</v>
      </c>
      <c r="C76">
        <v>24</v>
      </c>
      <c r="D76" t="s">
        <v>36</v>
      </c>
      <c r="E76" t="s">
        <v>5</v>
      </c>
      <c r="F76" t="s">
        <v>2</v>
      </c>
      <c r="G76">
        <v>5.3946639999999997</v>
      </c>
      <c r="H76">
        <v>1.817151</v>
      </c>
      <c r="I76">
        <v>-1.752095</v>
      </c>
      <c r="J76">
        <v>358.63209999999998</v>
      </c>
      <c r="K76">
        <v>151.75550000000001</v>
      </c>
      <c r="L76">
        <v>353.87450000000001</v>
      </c>
    </row>
    <row r="77" spans="1:12" x14ac:dyDescent="0.2">
      <c r="A77" s="1">
        <v>42979.754965277774</v>
      </c>
      <c r="B77">
        <v>1824.6279999999999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1.828381</v>
      </c>
      <c r="I77">
        <v>4.1399999999999997</v>
      </c>
      <c r="J77">
        <v>347.83980000000003</v>
      </c>
      <c r="K77">
        <v>153.46770000000001</v>
      </c>
      <c r="L77">
        <v>353.45920000000001</v>
      </c>
    </row>
    <row r="78" spans="1:12" x14ac:dyDescent="0.2">
      <c r="A78" s="1">
        <v>42979.755023148151</v>
      </c>
      <c r="B78">
        <v>1829.498</v>
      </c>
      <c r="C78">
        <v>25</v>
      </c>
      <c r="D78" t="s">
        <v>35</v>
      </c>
      <c r="E78" t="s">
        <v>1</v>
      </c>
      <c r="F78" t="s">
        <v>5</v>
      </c>
      <c r="G78">
        <v>-4.0480700000000001</v>
      </c>
      <c r="H78">
        <v>1.8245400000000001</v>
      </c>
      <c r="I78">
        <v>4.2900609999999997</v>
      </c>
      <c r="J78">
        <v>351.62950000000001</v>
      </c>
      <c r="K78">
        <v>24.917760000000001</v>
      </c>
      <c r="L78">
        <v>359.28620000000001</v>
      </c>
    </row>
    <row r="79" spans="1:12" x14ac:dyDescent="0.2">
      <c r="A79" s="1">
        <v>42979.755312499998</v>
      </c>
      <c r="B79">
        <v>1855.002</v>
      </c>
      <c r="C79">
        <v>25</v>
      </c>
      <c r="D79" t="s">
        <v>36</v>
      </c>
      <c r="E79" t="s">
        <v>1</v>
      </c>
      <c r="F79" t="s">
        <v>5</v>
      </c>
      <c r="G79">
        <v>2.8688419999999999</v>
      </c>
      <c r="H79">
        <v>1.80924</v>
      </c>
      <c r="I79">
        <v>6.4435510000000003</v>
      </c>
      <c r="J79">
        <v>0.29635689999999998</v>
      </c>
      <c r="K79">
        <v>123.7561</v>
      </c>
      <c r="L79">
        <v>356.64870000000002</v>
      </c>
    </row>
    <row r="80" spans="1:12" x14ac:dyDescent="0.2">
      <c r="A80" s="1">
        <v>42979.755347222221</v>
      </c>
      <c r="B80">
        <v>1857.529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1.8115209999999999</v>
      </c>
      <c r="I80">
        <v>-0.67300000000000004</v>
      </c>
      <c r="J80">
        <v>355.05599999999998</v>
      </c>
      <c r="K80">
        <v>121.58159999999999</v>
      </c>
      <c r="L80">
        <v>357.30619999999999</v>
      </c>
    </row>
    <row r="81" spans="1:12" x14ac:dyDescent="0.2">
      <c r="A81" s="1">
        <v>42979.755428240744</v>
      </c>
      <c r="B81">
        <v>1864.4580000000001</v>
      </c>
      <c r="C81">
        <v>26</v>
      </c>
      <c r="D81" t="s">
        <v>35</v>
      </c>
      <c r="E81" t="s">
        <v>4</v>
      </c>
      <c r="F81" t="s">
        <v>6</v>
      </c>
      <c r="G81">
        <v>3.835248</v>
      </c>
      <c r="H81">
        <v>1.8185819999999999</v>
      </c>
      <c r="I81">
        <v>-0.86146789999999995</v>
      </c>
      <c r="J81">
        <v>354.06740000000002</v>
      </c>
      <c r="K81">
        <v>63.519399999999997</v>
      </c>
      <c r="L81">
        <v>357.18779999999998</v>
      </c>
    </row>
    <row r="82" spans="1:12" x14ac:dyDescent="0.2">
      <c r="A82" s="1">
        <v>42979.755740740744</v>
      </c>
      <c r="B82">
        <v>1891.202</v>
      </c>
      <c r="C82">
        <v>26</v>
      </c>
      <c r="D82" t="s">
        <v>36</v>
      </c>
      <c r="E82" t="s">
        <v>4</v>
      </c>
      <c r="F82" t="s">
        <v>6</v>
      </c>
      <c r="G82">
        <v>-3.2195520000000002</v>
      </c>
      <c r="H82">
        <v>1.8191040000000001</v>
      </c>
      <c r="I82">
        <v>2.2363</v>
      </c>
      <c r="J82">
        <v>349.24799999999999</v>
      </c>
      <c r="K82">
        <v>347.3843</v>
      </c>
      <c r="L82">
        <v>354.2774</v>
      </c>
    </row>
    <row r="83" spans="1:12" x14ac:dyDescent="0.2">
      <c r="A83" s="1">
        <v>42979.755740740744</v>
      </c>
      <c r="B83">
        <v>1892.223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1.818973</v>
      </c>
      <c r="I83">
        <v>2.7240000000000002</v>
      </c>
      <c r="J83">
        <v>351.04880000000003</v>
      </c>
      <c r="K83">
        <v>346.99549999999999</v>
      </c>
      <c r="L83">
        <v>355.983</v>
      </c>
    </row>
    <row r="84" spans="1:12" x14ac:dyDescent="0.2">
      <c r="A84" s="1">
        <v>42979.755798611113</v>
      </c>
      <c r="B84">
        <v>1896.607</v>
      </c>
      <c r="C84">
        <v>27</v>
      </c>
      <c r="D84" t="s">
        <v>35</v>
      </c>
      <c r="E84" t="s">
        <v>5</v>
      </c>
      <c r="F84" t="s">
        <v>2</v>
      </c>
      <c r="G84">
        <v>7.5120049999999994E-2</v>
      </c>
      <c r="H84">
        <v>1.8155920000000001</v>
      </c>
      <c r="I84">
        <v>2.7052079999999998</v>
      </c>
      <c r="J84">
        <v>348.19330000000002</v>
      </c>
      <c r="K84">
        <v>47.994050000000001</v>
      </c>
      <c r="L84">
        <v>352.80029999999999</v>
      </c>
    </row>
    <row r="85" spans="1:12" x14ac:dyDescent="0.2">
      <c r="A85" s="1">
        <v>42979.756215277775</v>
      </c>
      <c r="B85">
        <v>1932.89</v>
      </c>
      <c r="C85">
        <v>27</v>
      </c>
      <c r="D85" t="s">
        <v>36</v>
      </c>
      <c r="E85" t="s">
        <v>5</v>
      </c>
      <c r="F85" t="s">
        <v>2</v>
      </c>
      <c r="G85">
        <v>11.351900000000001</v>
      </c>
      <c r="H85">
        <v>1.8171630000000001</v>
      </c>
      <c r="I85">
        <v>3.5621170000000001E-2</v>
      </c>
      <c r="J85">
        <v>355.0521</v>
      </c>
      <c r="K85">
        <v>315.99189999999999</v>
      </c>
      <c r="L85">
        <v>355.18959999999998</v>
      </c>
    </row>
    <row r="86" spans="1:12" x14ac:dyDescent="0.2">
      <c r="A86" s="1">
        <v>42979.756238425929</v>
      </c>
      <c r="B86">
        <v>1934.43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1.8133170000000001</v>
      </c>
      <c r="I86">
        <v>-4.117</v>
      </c>
      <c r="J86">
        <v>358.27339999999998</v>
      </c>
      <c r="K86">
        <v>311.36619999999999</v>
      </c>
      <c r="L86">
        <v>358.78469999999999</v>
      </c>
    </row>
    <row r="87" spans="1:12" x14ac:dyDescent="0.2">
      <c r="A87" s="1">
        <v>42979.756273148145</v>
      </c>
      <c r="B87">
        <v>1938.079</v>
      </c>
      <c r="C87">
        <v>28</v>
      </c>
      <c r="D87" t="s">
        <v>35</v>
      </c>
      <c r="E87" t="s">
        <v>0</v>
      </c>
      <c r="F87" t="s">
        <v>1</v>
      </c>
      <c r="G87">
        <v>-0.7594455</v>
      </c>
      <c r="H87">
        <v>1.8180780000000001</v>
      </c>
      <c r="I87">
        <v>-4.1367370000000001</v>
      </c>
      <c r="J87">
        <v>349.13170000000002</v>
      </c>
      <c r="K87">
        <v>222.31880000000001</v>
      </c>
      <c r="L87">
        <v>355.90010000000001</v>
      </c>
    </row>
    <row r="88" spans="1:12" x14ac:dyDescent="0.2">
      <c r="A88" s="1">
        <v>42979.756597222222</v>
      </c>
      <c r="B88">
        <v>1965.325</v>
      </c>
      <c r="C88">
        <v>28</v>
      </c>
      <c r="D88" t="s">
        <v>36</v>
      </c>
      <c r="E88" t="s">
        <v>0</v>
      </c>
      <c r="F88" t="s">
        <v>1</v>
      </c>
      <c r="G88">
        <v>-7.7707790000000001</v>
      </c>
      <c r="H88">
        <v>1.814173</v>
      </c>
      <c r="I88">
        <v>0.40088649999999998</v>
      </c>
      <c r="J88">
        <v>0.45554899999999998</v>
      </c>
      <c r="K88">
        <v>176.42359999999999</v>
      </c>
      <c r="L88">
        <v>354.10219999999998</v>
      </c>
    </row>
    <row r="89" spans="1:12" x14ac:dyDescent="0.2">
      <c r="A89" s="1">
        <v>42979.756620370368</v>
      </c>
      <c r="B89">
        <v>1967.5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1.8193349999999999</v>
      </c>
      <c r="I89">
        <v>-1.4059999999999999</v>
      </c>
      <c r="J89">
        <v>355.51580000000001</v>
      </c>
      <c r="K89">
        <v>174.77430000000001</v>
      </c>
      <c r="L89">
        <v>355.7679</v>
      </c>
    </row>
    <row r="90" spans="1:12" x14ac:dyDescent="0.2">
      <c r="A90" s="1">
        <v>42979.75681712963</v>
      </c>
      <c r="B90">
        <v>1985.0060000000001</v>
      </c>
      <c r="C90">
        <v>29</v>
      </c>
      <c r="D90" t="s">
        <v>35</v>
      </c>
      <c r="E90" t="s">
        <v>33</v>
      </c>
      <c r="F90" t="s">
        <v>3</v>
      </c>
      <c r="G90">
        <v>-4.1401909999999997</v>
      </c>
      <c r="H90">
        <v>1.7171129999999999</v>
      </c>
      <c r="I90">
        <v>-0.77212040000000004</v>
      </c>
      <c r="J90">
        <v>31.75525</v>
      </c>
      <c r="K90">
        <v>287.51389999999998</v>
      </c>
      <c r="L90">
        <v>357.95830000000001</v>
      </c>
    </row>
    <row r="91" spans="1:12" x14ac:dyDescent="0.2">
      <c r="A91" s="1">
        <v>42979.757685185185</v>
      </c>
      <c r="B91">
        <v>2059.7919999999999</v>
      </c>
      <c r="C91">
        <v>29</v>
      </c>
      <c r="D91" t="s">
        <v>36</v>
      </c>
      <c r="E91" t="s">
        <v>33</v>
      </c>
      <c r="F91" t="s">
        <v>3</v>
      </c>
      <c r="G91">
        <v>3.2835139999999998</v>
      </c>
      <c r="H91">
        <v>1.798735</v>
      </c>
      <c r="I91">
        <v>2.183281</v>
      </c>
      <c r="J91">
        <v>5.4192070000000001</v>
      </c>
      <c r="K91">
        <v>12.883509999999999</v>
      </c>
      <c r="L91">
        <v>354.02960000000002</v>
      </c>
    </row>
    <row r="92" spans="1:12" x14ac:dyDescent="0.2">
      <c r="A92" s="1">
        <v>42979.757708333331</v>
      </c>
      <c r="B92">
        <v>2061.75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1.801007</v>
      </c>
      <c r="I92">
        <v>0.09</v>
      </c>
      <c r="J92">
        <v>4.590287</v>
      </c>
      <c r="K92">
        <v>11.686640000000001</v>
      </c>
      <c r="L92">
        <v>356.31400000000002</v>
      </c>
    </row>
    <row r="93" spans="1:12" x14ac:dyDescent="0.2">
      <c r="A93" s="1">
        <v>42979.757777777777</v>
      </c>
      <c r="B93">
        <v>2068.1759999999999</v>
      </c>
      <c r="C93">
        <v>30</v>
      </c>
      <c r="D93" t="s">
        <v>35</v>
      </c>
      <c r="E93" t="s">
        <v>6</v>
      </c>
      <c r="F93" t="s">
        <v>33</v>
      </c>
      <c r="G93">
        <v>-4.1585859999999997</v>
      </c>
      <c r="H93">
        <v>1.804424</v>
      </c>
      <c r="I93">
        <v>0.14831569999999999</v>
      </c>
      <c r="J93">
        <v>359.87200000000001</v>
      </c>
      <c r="K93">
        <v>338.03289999999998</v>
      </c>
      <c r="L93">
        <v>354.32159999999999</v>
      </c>
    </row>
    <row r="94" spans="1:12" x14ac:dyDescent="0.2">
      <c r="A94" s="1">
        <v>42979.757962962962</v>
      </c>
      <c r="B94">
        <v>2084.1579999999999</v>
      </c>
      <c r="C94">
        <v>30</v>
      </c>
      <c r="D94" t="s">
        <v>36</v>
      </c>
      <c r="E94" t="s">
        <v>6</v>
      </c>
      <c r="F94" t="s">
        <v>33</v>
      </c>
      <c r="G94">
        <v>-5.8395960000000002</v>
      </c>
      <c r="H94">
        <v>1.803903</v>
      </c>
      <c r="I94">
        <v>-4.1865259999999997</v>
      </c>
      <c r="J94">
        <v>4.6268669999999998</v>
      </c>
      <c r="K94">
        <v>358.79</v>
      </c>
      <c r="L94">
        <v>352.96839999999997</v>
      </c>
    </row>
    <row r="95" spans="1:12" x14ac:dyDescent="0.2">
      <c r="A95" s="1">
        <v>42979.757986111108</v>
      </c>
      <c r="B95">
        <v>2085.8649999999998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1.817177</v>
      </c>
      <c r="I95">
        <v>-4.3440000000000003</v>
      </c>
      <c r="J95">
        <v>355.05489999999998</v>
      </c>
      <c r="K95">
        <v>356.76310000000001</v>
      </c>
      <c r="L95">
        <v>357.11149999999998</v>
      </c>
    </row>
    <row r="96" spans="1:12" x14ac:dyDescent="0.2">
      <c r="A96" s="1">
        <v>42979.758055555554</v>
      </c>
      <c r="B96">
        <v>2091.9740000000002</v>
      </c>
      <c r="C96">
        <v>31</v>
      </c>
      <c r="D96" t="s">
        <v>35</v>
      </c>
      <c r="E96" t="s">
        <v>2</v>
      </c>
      <c r="F96" t="s">
        <v>0</v>
      </c>
      <c r="G96">
        <v>3.4885670000000002</v>
      </c>
      <c r="H96">
        <v>1.818344</v>
      </c>
      <c r="I96">
        <v>-4.286791</v>
      </c>
      <c r="J96">
        <v>352.22800000000001</v>
      </c>
      <c r="K96">
        <v>162.2329</v>
      </c>
      <c r="L96">
        <v>357.2217</v>
      </c>
    </row>
    <row r="97" spans="1:12" x14ac:dyDescent="0.2">
      <c r="A97" s="1">
        <v>42979.758298611108</v>
      </c>
      <c r="B97">
        <v>2112.5250000000001</v>
      </c>
      <c r="C97">
        <v>31</v>
      </c>
      <c r="D97" t="s">
        <v>36</v>
      </c>
      <c r="E97" t="s">
        <v>2</v>
      </c>
      <c r="F97" t="s">
        <v>0</v>
      </c>
      <c r="G97">
        <v>-3.1049730000000002</v>
      </c>
      <c r="H97">
        <v>1.7930999999999999</v>
      </c>
      <c r="I97">
        <v>-3.8654160000000002</v>
      </c>
      <c r="J97">
        <v>6.9675039999999999</v>
      </c>
      <c r="K97">
        <v>59.24109</v>
      </c>
      <c r="L97">
        <v>355.88729999999998</v>
      </c>
    </row>
    <row r="98" spans="1:12" x14ac:dyDescent="0.2">
      <c r="A98" s="1">
        <v>42979.758321759262</v>
      </c>
      <c r="B98">
        <v>2114.4830000000002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1.818222</v>
      </c>
      <c r="I98">
        <v>1.8169999999999999</v>
      </c>
      <c r="J98">
        <v>354.69369999999998</v>
      </c>
      <c r="K98">
        <v>60.99718</v>
      </c>
      <c r="L98">
        <v>356.5016</v>
      </c>
    </row>
    <row r="99" spans="1:12" x14ac:dyDescent="0.2">
      <c r="A99" s="1">
        <v>42979.758368055554</v>
      </c>
      <c r="B99">
        <v>2118.2150000000001</v>
      </c>
      <c r="C99">
        <v>32</v>
      </c>
      <c r="D99" t="s">
        <v>35</v>
      </c>
      <c r="E99" t="s">
        <v>3</v>
      </c>
      <c r="F99" t="s">
        <v>4</v>
      </c>
      <c r="G99">
        <v>3.3571689999999998</v>
      </c>
      <c r="H99">
        <v>1.8171679999999999</v>
      </c>
      <c r="I99">
        <v>1.9185589999999999</v>
      </c>
      <c r="J99">
        <v>356.5258</v>
      </c>
      <c r="K99">
        <v>143.99189999999999</v>
      </c>
      <c r="L99">
        <v>355.18119999999999</v>
      </c>
    </row>
    <row r="100" spans="1:12" x14ac:dyDescent="0.2">
      <c r="A100" s="1">
        <v>42979.758634259262</v>
      </c>
      <c r="B100">
        <v>2141.277</v>
      </c>
      <c r="C100">
        <v>32</v>
      </c>
      <c r="D100" t="s">
        <v>36</v>
      </c>
      <c r="E100" t="s">
        <v>3</v>
      </c>
      <c r="F100" t="s">
        <v>4</v>
      </c>
      <c r="G100">
        <v>5.7578659999999999</v>
      </c>
      <c r="H100">
        <v>1.8172619999999999</v>
      </c>
      <c r="I100">
        <v>-2.553245</v>
      </c>
      <c r="J100">
        <v>357.03930000000003</v>
      </c>
      <c r="K100">
        <v>254.23349999999999</v>
      </c>
      <c r="L100">
        <v>354.9255</v>
      </c>
    </row>
    <row r="101" spans="1:12" x14ac:dyDescent="0.2">
      <c r="A101" s="1">
        <v>42979.758657407408</v>
      </c>
      <c r="B101">
        <v>2144.1219999999998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1.822719</v>
      </c>
      <c r="I101">
        <v>0.09</v>
      </c>
      <c r="J101">
        <v>354.28469999999999</v>
      </c>
      <c r="K101">
        <v>258.07119999999998</v>
      </c>
      <c r="L101">
        <v>356.57760000000002</v>
      </c>
    </row>
    <row r="102" spans="1:12" x14ac:dyDescent="0.2">
      <c r="A102" s="1">
        <v>42979.758726851855</v>
      </c>
      <c r="B102">
        <v>2149.828</v>
      </c>
      <c r="C102">
        <v>33</v>
      </c>
      <c r="D102" t="s">
        <v>35</v>
      </c>
      <c r="E102" t="s">
        <v>6</v>
      </c>
      <c r="F102" t="s">
        <v>33</v>
      </c>
      <c r="G102">
        <v>-4.107507</v>
      </c>
      <c r="H102">
        <v>1.8156779999999999</v>
      </c>
      <c r="I102">
        <v>0.21129039999999999</v>
      </c>
      <c r="J102">
        <v>351.00580000000002</v>
      </c>
      <c r="K102">
        <v>94.638149999999996</v>
      </c>
      <c r="L102">
        <v>355.553</v>
      </c>
    </row>
    <row r="103" spans="1:12" x14ac:dyDescent="0.2">
      <c r="A103" s="1">
        <v>42979.759027777778</v>
      </c>
      <c r="B103">
        <v>2175.3490000000002</v>
      </c>
      <c r="C103">
        <v>33</v>
      </c>
      <c r="D103" t="s">
        <v>36</v>
      </c>
      <c r="E103" t="s">
        <v>6</v>
      </c>
      <c r="F103" t="s">
        <v>33</v>
      </c>
      <c r="G103">
        <v>-5.2020939999999998</v>
      </c>
      <c r="H103">
        <v>1.801636</v>
      </c>
      <c r="I103">
        <v>-7.4791819999999998</v>
      </c>
      <c r="J103">
        <v>359.75490000000002</v>
      </c>
      <c r="K103">
        <v>296.38290000000001</v>
      </c>
      <c r="L103">
        <v>353.56630000000001</v>
      </c>
    </row>
    <row r="104" spans="1:12" x14ac:dyDescent="0.2">
      <c r="A104" s="1">
        <v>42979.759062500001</v>
      </c>
      <c r="B104">
        <v>2178.3440000000001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1.8142320000000001</v>
      </c>
      <c r="I104">
        <v>-0.67300000000000004</v>
      </c>
      <c r="J104">
        <v>355.8974</v>
      </c>
      <c r="K104">
        <v>292.4896</v>
      </c>
      <c r="L104">
        <v>355.8408</v>
      </c>
    </row>
    <row r="105" spans="1:12" x14ac:dyDescent="0.2">
      <c r="A105" s="1">
        <v>42979.759120370371</v>
      </c>
      <c r="B105">
        <v>2184.1179999999999</v>
      </c>
      <c r="C105">
        <v>34</v>
      </c>
      <c r="D105" t="s">
        <v>35</v>
      </c>
      <c r="E105" t="s">
        <v>4</v>
      </c>
      <c r="F105" t="s">
        <v>6</v>
      </c>
      <c r="G105">
        <v>3.8640409999999998</v>
      </c>
      <c r="H105">
        <v>1.818778</v>
      </c>
      <c r="I105">
        <v>-0.79590510000000003</v>
      </c>
      <c r="J105">
        <v>355.13799999999998</v>
      </c>
      <c r="K105">
        <v>113.8725</v>
      </c>
      <c r="L105">
        <v>356.01659999999998</v>
      </c>
    </row>
    <row r="106" spans="1:12" x14ac:dyDescent="0.2">
      <c r="A106" s="1">
        <v>42979.759513888886</v>
      </c>
      <c r="B106">
        <v>2217.3029999999999</v>
      </c>
      <c r="C106">
        <v>34</v>
      </c>
      <c r="D106" t="s">
        <v>36</v>
      </c>
      <c r="E106" t="s">
        <v>4</v>
      </c>
      <c r="F106" t="s">
        <v>6</v>
      </c>
      <c r="G106">
        <v>-7.6835420000000001</v>
      </c>
      <c r="H106">
        <v>1.824862</v>
      </c>
      <c r="I106">
        <v>0.65353930000000005</v>
      </c>
      <c r="J106">
        <v>346.59359999999998</v>
      </c>
      <c r="K106">
        <v>156.91319999999999</v>
      </c>
      <c r="L106">
        <v>354.96230000000003</v>
      </c>
    </row>
    <row r="107" spans="1:12" x14ac:dyDescent="0.2">
      <c r="A107" s="1">
        <v>42979.75953703704</v>
      </c>
      <c r="B107">
        <v>2219.2779999999998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1.824765</v>
      </c>
      <c r="I107">
        <v>2.7240000000000002</v>
      </c>
      <c r="J107">
        <v>349.48360000000002</v>
      </c>
      <c r="K107">
        <v>159.79409999999999</v>
      </c>
      <c r="L107">
        <v>354.17149999999998</v>
      </c>
    </row>
    <row r="108" spans="1:12" x14ac:dyDescent="0.2">
      <c r="A108" s="1">
        <v>42979.759594907409</v>
      </c>
      <c r="B108">
        <v>2224.4160000000002</v>
      </c>
      <c r="C108">
        <v>35</v>
      </c>
      <c r="D108" t="s">
        <v>35</v>
      </c>
      <c r="E108" t="s">
        <v>5</v>
      </c>
      <c r="F108" t="s">
        <v>2</v>
      </c>
      <c r="G108">
        <v>0.17548069999999999</v>
      </c>
      <c r="H108">
        <v>1.815293</v>
      </c>
      <c r="I108">
        <v>2.6194489999999999</v>
      </c>
      <c r="J108">
        <v>356.73680000000002</v>
      </c>
      <c r="K108">
        <v>255.96459999999999</v>
      </c>
      <c r="L108">
        <v>353.18520000000001</v>
      </c>
    </row>
    <row r="109" spans="1:12" x14ac:dyDescent="0.2">
      <c r="A109" s="1">
        <v>42979.75990740741</v>
      </c>
      <c r="B109">
        <v>2251.8440000000001</v>
      </c>
      <c r="C109">
        <v>35</v>
      </c>
      <c r="D109" t="s">
        <v>36</v>
      </c>
      <c r="E109" t="s">
        <v>5</v>
      </c>
      <c r="F109" t="s">
        <v>2</v>
      </c>
      <c r="G109">
        <v>6.9314629999999999</v>
      </c>
      <c r="H109">
        <v>1.829151</v>
      </c>
      <c r="I109">
        <v>-3.2808709999999999</v>
      </c>
      <c r="J109">
        <v>348.4348</v>
      </c>
      <c r="K109">
        <v>15.667389999999999</v>
      </c>
      <c r="L109">
        <v>354.98919999999998</v>
      </c>
    </row>
    <row r="110" spans="1:12" x14ac:dyDescent="0.2">
      <c r="A110" s="1">
        <v>42979.759942129633</v>
      </c>
      <c r="B110">
        <v>2254.9050000000002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1.8264990000000001</v>
      </c>
      <c r="I110">
        <v>1.8169999999999999</v>
      </c>
      <c r="J110">
        <v>357.03609999999998</v>
      </c>
      <c r="K110">
        <v>12.1454</v>
      </c>
      <c r="L110">
        <v>358.33499999999998</v>
      </c>
    </row>
    <row r="111" spans="1:12" x14ac:dyDescent="0.2">
      <c r="A111" s="1">
        <v>42979.76</v>
      </c>
      <c r="B111">
        <v>2259.9090000000001</v>
      </c>
      <c r="C111">
        <v>36</v>
      </c>
      <c r="D111" t="s">
        <v>35</v>
      </c>
      <c r="E111" t="s">
        <v>3</v>
      </c>
      <c r="F111" t="s">
        <v>4</v>
      </c>
      <c r="G111">
        <v>3.2270669999999999</v>
      </c>
      <c r="H111">
        <v>1.8200780000000001</v>
      </c>
      <c r="I111">
        <v>1.9155169999999999</v>
      </c>
      <c r="J111">
        <v>2.1084019999999999</v>
      </c>
      <c r="K111">
        <v>246.51689999999999</v>
      </c>
      <c r="L111">
        <v>355.47680000000003</v>
      </c>
    </row>
    <row r="112" spans="1:12" x14ac:dyDescent="0.2">
      <c r="A112" s="1">
        <v>42979.760254629633</v>
      </c>
      <c r="B112">
        <v>2281.8000000000002</v>
      </c>
      <c r="C112">
        <v>36</v>
      </c>
      <c r="D112" t="s">
        <v>36</v>
      </c>
      <c r="E112" t="s">
        <v>3</v>
      </c>
      <c r="F112" t="s">
        <v>4</v>
      </c>
      <c r="G112">
        <v>5.4880370000000003</v>
      </c>
      <c r="H112">
        <v>1.8071440000000001</v>
      </c>
      <c r="I112">
        <v>-2.595942</v>
      </c>
      <c r="J112">
        <v>4.6376210000000002</v>
      </c>
      <c r="K112">
        <v>24.066510000000001</v>
      </c>
      <c r="L112">
        <v>355.80599999999998</v>
      </c>
    </row>
    <row r="113" spans="1:12" x14ac:dyDescent="0.2">
      <c r="A113" s="1">
        <v>42979.760289351849</v>
      </c>
      <c r="B113">
        <v>2284.645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1.8214509999999999</v>
      </c>
      <c r="I113">
        <v>0.09</v>
      </c>
      <c r="J113">
        <v>347.84179999999998</v>
      </c>
      <c r="K113">
        <v>25.191849999999999</v>
      </c>
      <c r="L113">
        <v>353.5367</v>
      </c>
    </row>
    <row r="114" spans="1:12" x14ac:dyDescent="0.2">
      <c r="A114" s="1">
        <v>42979.760370370372</v>
      </c>
      <c r="B114">
        <v>2291.2049999999999</v>
      </c>
      <c r="C114">
        <v>37</v>
      </c>
      <c r="D114" t="s">
        <v>35</v>
      </c>
      <c r="E114" t="s">
        <v>6</v>
      </c>
      <c r="F114" t="s">
        <v>33</v>
      </c>
      <c r="G114">
        <v>-4.0291449999999998</v>
      </c>
      <c r="H114">
        <v>1.8154170000000001</v>
      </c>
      <c r="I114">
        <v>7.1368570000000006E-2</v>
      </c>
      <c r="J114">
        <v>357.6112</v>
      </c>
      <c r="K114">
        <v>210.18610000000001</v>
      </c>
      <c r="L114">
        <v>355.7149</v>
      </c>
    </row>
    <row r="115" spans="1:12" x14ac:dyDescent="0.2">
      <c r="A115" s="1">
        <v>42979.760567129626</v>
      </c>
      <c r="B115">
        <v>2308.2420000000002</v>
      </c>
      <c r="C115">
        <v>37</v>
      </c>
      <c r="D115" t="s">
        <v>36</v>
      </c>
      <c r="E115" t="s">
        <v>6</v>
      </c>
      <c r="F115" t="s">
        <v>33</v>
      </c>
      <c r="G115">
        <v>-2.2875899999999998</v>
      </c>
      <c r="H115">
        <v>1.8098939999999999</v>
      </c>
      <c r="I115">
        <v>-5.142277</v>
      </c>
      <c r="J115">
        <v>358.8777</v>
      </c>
      <c r="K115">
        <v>210.1824</v>
      </c>
      <c r="L115">
        <v>352.33089999999999</v>
      </c>
    </row>
    <row r="116" spans="1:12" x14ac:dyDescent="0.2">
      <c r="A116" s="1">
        <v>42979.76059027778</v>
      </c>
      <c r="B116">
        <v>2310.8530000000001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1.810371</v>
      </c>
      <c r="I116">
        <v>-4.3440000000000003</v>
      </c>
      <c r="J116">
        <v>359.012</v>
      </c>
      <c r="K116">
        <v>206.94579999999999</v>
      </c>
      <c r="L116">
        <v>357.13679999999999</v>
      </c>
    </row>
    <row r="117" spans="1:12" x14ac:dyDescent="0.2">
      <c r="A117" s="1">
        <v>42979.760648148149</v>
      </c>
      <c r="B117">
        <v>2315.64</v>
      </c>
      <c r="C117">
        <v>38</v>
      </c>
      <c r="D117" t="s">
        <v>35</v>
      </c>
      <c r="E117" t="s">
        <v>2</v>
      </c>
      <c r="F117" t="s">
        <v>0</v>
      </c>
      <c r="G117">
        <v>3.5497540000000001</v>
      </c>
      <c r="H117">
        <v>1.823002</v>
      </c>
      <c r="I117">
        <v>-4.2955290000000002</v>
      </c>
      <c r="J117">
        <v>348.90649999999999</v>
      </c>
      <c r="K117">
        <v>51.974580000000003</v>
      </c>
      <c r="L117">
        <v>356.428</v>
      </c>
    </row>
    <row r="118" spans="1:12" x14ac:dyDescent="0.2">
      <c r="A118" s="1">
        <v>42979.760821759257</v>
      </c>
      <c r="B118">
        <v>2330.569</v>
      </c>
      <c r="C118">
        <v>38</v>
      </c>
      <c r="D118" t="s">
        <v>36</v>
      </c>
      <c r="E118" t="s">
        <v>2</v>
      </c>
      <c r="F118" t="s">
        <v>0</v>
      </c>
      <c r="G118">
        <v>-2.1747260000000002</v>
      </c>
      <c r="H118">
        <v>1.8078320000000001</v>
      </c>
      <c r="I118">
        <v>-4.6890720000000004</v>
      </c>
      <c r="J118">
        <v>357.24959999999999</v>
      </c>
      <c r="K118">
        <v>139.8082</v>
      </c>
      <c r="L118">
        <v>354.33510000000001</v>
      </c>
    </row>
    <row r="119" spans="1:12" x14ac:dyDescent="0.2">
      <c r="A119" s="1">
        <v>42979.76085648148</v>
      </c>
      <c r="B119">
        <v>2333.4810000000002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1.822592</v>
      </c>
      <c r="I119">
        <v>4.1399999999999997</v>
      </c>
      <c r="J119">
        <v>344.43639999999999</v>
      </c>
      <c r="K119">
        <v>137.71010000000001</v>
      </c>
      <c r="L119">
        <v>356.51990000000001</v>
      </c>
    </row>
    <row r="120" spans="1:12" x14ac:dyDescent="0.2">
      <c r="A120" s="1">
        <v>42979.760925925926</v>
      </c>
      <c r="B120">
        <v>2339.2379999999998</v>
      </c>
      <c r="C120">
        <v>39</v>
      </c>
      <c r="D120" t="s">
        <v>35</v>
      </c>
      <c r="E120" t="s">
        <v>1</v>
      </c>
      <c r="F120" t="s">
        <v>5</v>
      </c>
      <c r="G120">
        <v>-4.0412270000000001</v>
      </c>
      <c r="H120">
        <v>1.818416</v>
      </c>
      <c r="I120">
        <v>4.2077900000000001</v>
      </c>
      <c r="J120">
        <v>350.40010000000001</v>
      </c>
      <c r="K120">
        <v>241.0162</v>
      </c>
      <c r="L120">
        <v>354.75229999999999</v>
      </c>
    </row>
    <row r="121" spans="1:12" x14ac:dyDescent="0.2">
      <c r="A121" s="1">
        <v>42979.76116898148</v>
      </c>
      <c r="B121">
        <v>2360.9780000000001</v>
      </c>
      <c r="C121">
        <v>39</v>
      </c>
      <c r="D121" t="s">
        <v>36</v>
      </c>
      <c r="E121" t="s">
        <v>1</v>
      </c>
      <c r="F121" t="s">
        <v>5</v>
      </c>
      <c r="G121">
        <v>3.4653930000000002</v>
      </c>
      <c r="H121">
        <v>1.7965180000000001</v>
      </c>
      <c r="I121">
        <v>6.3992110000000002</v>
      </c>
      <c r="J121">
        <v>7.5735679999999999</v>
      </c>
      <c r="K121">
        <v>309.31650000000002</v>
      </c>
      <c r="L121">
        <v>354.2543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tabSelected="1" topLeftCell="N31" zoomScale="90" zoomScaleNormal="90" workbookViewId="0">
      <selection activeCell="T42" sqref="T42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-17.112490000000001</v>
      </c>
      <c r="G2" s="3">
        <f>VLOOKUP($A2,'Summary Data (40)'!$C$2:$L$249,6,1)</f>
        <v>1.8015350000000001</v>
      </c>
      <c r="H2" s="3">
        <f>VLOOKUP($A2,'Summary Data (40)'!$C$2:$L$249,7,1)</f>
        <v>10.631830000000001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21.954420223932129</v>
      </c>
      <c r="N2" s="3">
        <f t="shared" ref="N2:N41" si="1">ABS(SQRT((F2-C2)^2+(H2-E2)^2))</f>
        <v>25.491372734103592</v>
      </c>
      <c r="O2" s="3">
        <f t="shared" ref="O2:O41" si="2">ABS(SQRT((J2-C2)^2+(L2-E2)^2))</f>
        <v>4.3718971854333439</v>
      </c>
      <c r="P2" s="3">
        <f t="shared" ref="P2:P41" si="3">(N2-O2)</f>
        <v>21.119475548670248</v>
      </c>
      <c r="Q2" s="5">
        <f t="shared" ref="Q2:Q41" si="4">P2/O2</f>
        <v>4.8307347251984565</v>
      </c>
      <c r="R2" s="3">
        <f t="shared" ref="R2:R41" si="5">ATAN2(J2-C2,L2-E2)*180/PI()</f>
        <v>177.02371934116897</v>
      </c>
      <c r="S2" s="3">
        <f t="shared" ref="S2:S41" si="6">ATAN2(F2-C2,H2-E2)*180/PI()</f>
        <v>144.02117565036613</v>
      </c>
      <c r="T2" s="3">
        <f t="shared" ref="T2:T41" si="7">IF(ABS(R2-S2)&gt;180,360-ABS(R2-S2),ABS(R2-S2))</f>
        <v>33.002543690802838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0.25153829999999999</v>
      </c>
      <c r="G3" s="3">
        <f>VLOOKUP($A3,'Summary Data (40)'!$C$2:$L$249,6,1)</f>
        <v>1.787458</v>
      </c>
      <c r="H3" s="3">
        <f>VLOOKUP($A3,'Summary Data (40)'!$C$2:$L$249,7,1)</f>
        <v>-4.120781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3.2720844904629054</v>
      </c>
      <c r="N3" s="3">
        <f t="shared" si="1"/>
        <v>6.8488323989369091</v>
      </c>
      <c r="O3" s="3">
        <f t="shared" si="2"/>
        <v>7.8871175977032326</v>
      </c>
      <c r="P3" s="3">
        <f t="shared" si="3"/>
        <v>-1.0382851987663235</v>
      </c>
      <c r="Q3" s="5">
        <f t="shared" si="4"/>
        <v>-0.13164317456971572</v>
      </c>
      <c r="R3" s="3">
        <f t="shared" si="5"/>
        <v>-63.65586590726528</v>
      </c>
      <c r="S3" s="3">
        <f t="shared" si="6"/>
        <v>-88.029151337462409</v>
      </c>
      <c r="T3" s="3">
        <f t="shared" si="7"/>
        <v>24.373285430197129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6.3038650000000001</v>
      </c>
      <c r="G4" s="3">
        <f>VLOOKUP($A4,'Summary Data (40)'!$C$2:$L$249,6,1)</f>
        <v>1.7909109999999999</v>
      </c>
      <c r="H4" s="3">
        <f>VLOOKUP($A4,'Summary Data (40)'!$C$2:$L$249,7,1)</f>
        <v>-0.37894169999999999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3.6622574456233807</v>
      </c>
      <c r="N4" s="3">
        <f t="shared" si="1"/>
        <v>10.336019389485678</v>
      </c>
      <c r="O4" s="3">
        <f t="shared" si="2"/>
        <v>8.0292617967033557</v>
      </c>
      <c r="P4" s="3">
        <f t="shared" si="3"/>
        <v>2.3067575927823221</v>
      </c>
      <c r="Q4" s="5">
        <f t="shared" si="4"/>
        <v>0.28729385729201501</v>
      </c>
      <c r="R4" s="3">
        <f t="shared" si="5"/>
        <v>23.666151625811782</v>
      </c>
      <c r="S4" s="3">
        <f t="shared" si="6"/>
        <v>5.7027154697441924</v>
      </c>
      <c r="T4" s="3">
        <f t="shared" si="7"/>
        <v>17.963436156067591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-2.0074550000000002</v>
      </c>
      <c r="G5" s="3">
        <f>VLOOKUP($A5,'Summary Data (40)'!$C$2:$L$249,6,1)</f>
        <v>1.785968</v>
      </c>
      <c r="H5" s="3">
        <f>VLOOKUP($A5,'Summary Data (40)'!$C$2:$L$249,7,1)</f>
        <v>-3.31568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7.7381175326706551</v>
      </c>
      <c r="N5" s="3">
        <f t="shared" si="1"/>
        <v>1.407769803421355</v>
      </c>
      <c r="O5" s="3">
        <f t="shared" si="2"/>
        <v>8.8659173242253964</v>
      </c>
      <c r="P5" s="3">
        <f t="shared" si="3"/>
        <v>-7.4581475208040411</v>
      </c>
      <c r="Q5" s="5">
        <f t="shared" si="4"/>
        <v>-0.84121555029903794</v>
      </c>
      <c r="R5" s="3">
        <f t="shared" si="5"/>
        <v>111.35858600069317</v>
      </c>
      <c r="S5" s="3">
        <f t="shared" si="6"/>
        <v>145.30467915397344</v>
      </c>
      <c r="T5" s="3">
        <f t="shared" si="7"/>
        <v>33.946093153280273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-5.7552789999999998</v>
      </c>
      <c r="G6" s="3">
        <f>VLOOKUP($A6,'Summary Data (40)'!$C$2:$L$249,6,1)</f>
        <v>1.790843</v>
      </c>
      <c r="H6" s="3">
        <f>VLOOKUP($A6,'Summary Data (40)'!$C$2:$L$249,7,1)</f>
        <v>0.47324189999999999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9.740954630073821</v>
      </c>
      <c r="N6" s="3">
        <f t="shared" si="1"/>
        <v>9.2266550457441827</v>
      </c>
      <c r="O6" s="3">
        <f t="shared" si="2"/>
        <v>2.5489458605470614</v>
      </c>
      <c r="P6" s="3">
        <f t="shared" si="3"/>
        <v>6.6777091851971218</v>
      </c>
      <c r="Q6" s="5">
        <f t="shared" si="4"/>
        <v>2.6197924752171606</v>
      </c>
      <c r="R6" s="3">
        <f t="shared" si="5"/>
        <v>-77.654050540796021</v>
      </c>
      <c r="S6" s="3">
        <f t="shared" si="6"/>
        <v>-171.62573302938017</v>
      </c>
      <c r="T6" s="3">
        <f t="shared" si="7"/>
        <v>93.97168248858415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-6.6838090000000001</v>
      </c>
      <c r="G7" s="3">
        <f>VLOOKUP($A7,'Summary Data (40)'!$C$2:$L$249,6,1)</f>
        <v>1.8036449999999999</v>
      </c>
      <c r="H7" s="3">
        <f>VLOOKUP($A7,'Summary Data (40)'!$C$2:$L$249,7,1)</f>
        <v>0.77504209999999996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7.6135013861332821</v>
      </c>
      <c r="N7" s="3">
        <f t="shared" si="1"/>
        <v>11.412304572611678</v>
      </c>
      <c r="O7" s="3">
        <f t="shared" si="2"/>
        <v>4.3718971854333439</v>
      </c>
      <c r="P7" s="3">
        <f t="shared" si="3"/>
        <v>7.0404073871783339</v>
      </c>
      <c r="Q7" s="5">
        <f t="shared" si="4"/>
        <v>1.6103780781112962</v>
      </c>
      <c r="R7" s="3">
        <f t="shared" si="5"/>
        <v>177.02371934116897</v>
      </c>
      <c r="S7" s="3">
        <f t="shared" si="6"/>
        <v>153.34901148268114</v>
      </c>
      <c r="T7" s="3">
        <f t="shared" si="7"/>
        <v>23.674707858487835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1.7841359999999999</v>
      </c>
      <c r="G8" s="3">
        <f>VLOOKUP($A8,'Summary Data (40)'!$C$2:$L$249,6,1)</f>
        <v>1.7860279999999999</v>
      </c>
      <c r="H8" s="3">
        <f>VLOOKUP($A8,'Summary Data (40)'!$C$2:$L$249,7,1)</f>
        <v>-9.7805110000000006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10.167065829806404</v>
      </c>
      <c r="N8" s="3">
        <f t="shared" si="1"/>
        <v>11.49642668778508</v>
      </c>
      <c r="O8" s="3">
        <f t="shared" si="2"/>
        <v>1.5015515309172709</v>
      </c>
      <c r="P8" s="3">
        <f t="shared" si="3"/>
        <v>9.9948751568678098</v>
      </c>
      <c r="Q8" s="5">
        <f t="shared" si="4"/>
        <v>6.6563650671130281</v>
      </c>
      <c r="R8" s="3">
        <f t="shared" si="5"/>
        <v>-85.071579131103505</v>
      </c>
      <c r="S8" s="3">
        <f t="shared" si="6"/>
        <v>-59.156632443975539</v>
      </c>
      <c r="T8" s="3">
        <f t="shared" si="7"/>
        <v>25.914946687127966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2.102576</v>
      </c>
      <c r="G9" s="3">
        <f>VLOOKUP($A9,'Summary Data (40)'!$C$2:$L$249,6,1)</f>
        <v>1.799191</v>
      </c>
      <c r="H9" s="3">
        <f>VLOOKUP($A9,'Summary Data (40)'!$C$2:$L$249,7,1)</f>
        <v>5.9153010000000004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6.4314520510050448</v>
      </c>
      <c r="N9" s="3">
        <f t="shared" si="1"/>
        <v>10.457761155733909</v>
      </c>
      <c r="O9" s="3">
        <f t="shared" si="2"/>
        <v>8.8659173242253964</v>
      </c>
      <c r="P9" s="3">
        <f t="shared" si="3"/>
        <v>1.5918438315085126</v>
      </c>
      <c r="Q9" s="5">
        <f t="shared" si="4"/>
        <v>0.17954643307567611</v>
      </c>
      <c r="R9" s="3">
        <f t="shared" si="5"/>
        <v>111.35858600069317</v>
      </c>
      <c r="S9" s="3">
        <f t="shared" si="6"/>
        <v>73.600476994339161</v>
      </c>
      <c r="T9" s="3">
        <f t="shared" si="7"/>
        <v>37.758109006354005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9.8968979999999998E-2</v>
      </c>
      <c r="G10" s="3">
        <f>VLOOKUP($A10,'Summary Data (40)'!$C$2:$L$249,6,1)</f>
        <v>1.8154669999999999</v>
      </c>
      <c r="H10" s="3">
        <f>VLOOKUP($A10,'Summary Data (40)'!$C$2:$L$249,7,1)</f>
        <v>-4.5479940000000001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3.4231147429904012</v>
      </c>
      <c r="N10" s="3">
        <f t="shared" si="1"/>
        <v>7.2724672971198876</v>
      </c>
      <c r="O10" s="3">
        <f t="shared" si="2"/>
        <v>7.8871175977032326</v>
      </c>
      <c r="P10" s="3">
        <f t="shared" si="3"/>
        <v>-0.61465030058334502</v>
      </c>
      <c r="Q10" s="5">
        <f t="shared" si="4"/>
        <v>-7.7930916202179387E-2</v>
      </c>
      <c r="R10" s="3">
        <f t="shared" si="5"/>
        <v>-63.65586590726528</v>
      </c>
      <c r="S10" s="3">
        <f t="shared" si="6"/>
        <v>-89.346318749990147</v>
      </c>
      <c r="T10" s="3">
        <f t="shared" si="7"/>
        <v>25.690452842724866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1.6563540000000001</v>
      </c>
      <c r="G11" s="3">
        <f>VLOOKUP($A11,'Summary Data (40)'!$C$2:$L$249,6,1)</f>
        <v>1.7974000000000001</v>
      </c>
      <c r="H11" s="3">
        <f>VLOOKUP($A11,'Summary Data (40)'!$C$2:$L$249,7,1)</f>
        <v>3.1206480000000001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7.2298203461234083</v>
      </c>
      <c r="N11" s="3">
        <f t="shared" si="1"/>
        <v>6.5142663250146606</v>
      </c>
      <c r="O11" s="3">
        <f t="shared" si="2"/>
        <v>1.5015515309172709</v>
      </c>
      <c r="P11" s="3">
        <f t="shared" si="3"/>
        <v>5.0127147940973895</v>
      </c>
      <c r="Q11" s="5">
        <f t="shared" si="4"/>
        <v>3.3383568201853264</v>
      </c>
      <c r="R11" s="3">
        <f t="shared" si="5"/>
        <v>-85.071579131103505</v>
      </c>
      <c r="S11" s="3">
        <f t="shared" si="6"/>
        <v>27.725266031644043</v>
      </c>
      <c r="T11" s="3">
        <f t="shared" si="7"/>
        <v>112.79684516274754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7.2648190000000001</v>
      </c>
      <c r="G12" s="3">
        <f>VLOOKUP($A12,'Summary Data (40)'!$C$2:$L$249,6,1)</f>
        <v>1.808859</v>
      </c>
      <c r="H12" s="3">
        <f>VLOOKUP($A12,'Summary Data (40)'!$C$2:$L$249,7,1)</f>
        <v>-1.8607480000000001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8.577021109818082</v>
      </c>
      <c r="N12" s="3">
        <f t="shared" si="1"/>
        <v>12.833207162056762</v>
      </c>
      <c r="O12" s="3">
        <f t="shared" si="2"/>
        <v>4.3329067610554466</v>
      </c>
      <c r="P12" s="3">
        <f t="shared" si="3"/>
        <v>8.500300401001315</v>
      </c>
      <c r="Q12" s="5">
        <f t="shared" si="4"/>
        <v>1.9618009040496267</v>
      </c>
      <c r="R12" s="3">
        <f t="shared" si="5"/>
        <v>-19.074748100261683</v>
      </c>
      <c r="S12" s="3">
        <f t="shared" si="6"/>
        <v>-27.878318406524262</v>
      </c>
      <c r="T12" s="3">
        <f t="shared" si="7"/>
        <v>8.8035703062625785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-4.7033440000000004</v>
      </c>
      <c r="G13" s="3">
        <f>VLOOKUP($A13,'Summary Data (40)'!$C$2:$L$249,6,1)</f>
        <v>1.82335</v>
      </c>
      <c r="H13" s="3">
        <f>VLOOKUP($A13,'Summary Data (40)'!$C$2:$L$249,7,1)</f>
        <v>2.7680639999999999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7.8900168736468492</v>
      </c>
      <c r="N13" s="3">
        <f t="shared" si="1"/>
        <v>10.86917982786337</v>
      </c>
      <c r="O13" s="3">
        <f t="shared" si="2"/>
        <v>4.3718971854333439</v>
      </c>
      <c r="P13" s="3">
        <f t="shared" si="3"/>
        <v>6.4972826424300258</v>
      </c>
      <c r="Q13" s="5">
        <f t="shared" si="4"/>
        <v>1.4861471729203104</v>
      </c>
      <c r="R13" s="3">
        <f t="shared" si="5"/>
        <v>177.02371934116897</v>
      </c>
      <c r="S13" s="3">
        <f t="shared" si="6"/>
        <v>139.13089952450656</v>
      </c>
      <c r="T13" s="3">
        <f t="shared" si="7"/>
        <v>37.89281981666241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6.8051199999999996</v>
      </c>
      <c r="G14" s="3">
        <f>VLOOKUP($A14,'Summary Data (40)'!$C$2:$L$249,6,1)</f>
        <v>1.8117449999999999</v>
      </c>
      <c r="H14" s="3">
        <f>VLOOKUP($A14,'Summary Data (40)'!$C$2:$L$249,7,1)</f>
        <v>-2.40279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5.4393083511141374</v>
      </c>
      <c r="N14" s="3">
        <f t="shared" si="1"/>
        <v>10.832080823115197</v>
      </c>
      <c r="O14" s="3">
        <f t="shared" si="2"/>
        <v>8.0292617967033557</v>
      </c>
      <c r="P14" s="3">
        <f t="shared" si="3"/>
        <v>2.8028190264118411</v>
      </c>
      <c r="Q14" s="5">
        <f t="shared" si="4"/>
        <v>0.3490755560570486</v>
      </c>
      <c r="R14" s="3">
        <f t="shared" si="5"/>
        <v>23.666151625811782</v>
      </c>
      <c r="S14" s="3">
        <f t="shared" si="6"/>
        <v>-5.2799433534574129</v>
      </c>
      <c r="T14" s="3">
        <f t="shared" si="7"/>
        <v>28.946094979269194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2.006618</v>
      </c>
      <c r="G15" s="3">
        <f>VLOOKUP($A15,'Summary Data (40)'!$C$2:$L$249,6,1)</f>
        <v>1.816643</v>
      </c>
      <c r="H15" s="3">
        <f>VLOOKUP($A15,'Summary Data (40)'!$C$2:$L$249,7,1)</f>
        <v>6.6083999999999996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10.004107989917143</v>
      </c>
      <c r="N15" s="3">
        <f t="shared" si="1"/>
        <v>8.9388228709335102</v>
      </c>
      <c r="O15" s="3">
        <f t="shared" si="2"/>
        <v>1.5015515309172709</v>
      </c>
      <c r="P15" s="3">
        <f t="shared" si="3"/>
        <v>7.4372713400162391</v>
      </c>
      <c r="Q15" s="5">
        <f t="shared" si="4"/>
        <v>4.9530576785952487</v>
      </c>
      <c r="R15" s="3">
        <f t="shared" si="5"/>
        <v>-85.071579131103505</v>
      </c>
      <c r="S15" s="3">
        <f t="shared" si="6"/>
        <v>46.821339575041094</v>
      </c>
      <c r="T15" s="3">
        <f t="shared" si="7"/>
        <v>131.8929187061446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4.9743339999999998</v>
      </c>
      <c r="G16" s="3">
        <f>VLOOKUP($A16,'Summary Data (40)'!$C$2:$L$249,6,1)</f>
        <v>1.8044880000000001</v>
      </c>
      <c r="H16" s="3">
        <f>VLOOKUP($A16,'Summary Data (40)'!$C$2:$L$249,7,1)</f>
        <v>-4.7438979999999997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8.9640714295436084</v>
      </c>
      <c r="N16" s="3">
        <f t="shared" si="1"/>
        <v>12.684104232856177</v>
      </c>
      <c r="O16" s="3">
        <f t="shared" si="2"/>
        <v>4.3329067610554466</v>
      </c>
      <c r="P16" s="3">
        <f t="shared" si="3"/>
        <v>8.3511974718007309</v>
      </c>
      <c r="Q16" s="5">
        <f t="shared" si="4"/>
        <v>1.927389148287713</v>
      </c>
      <c r="R16" s="3">
        <f t="shared" si="5"/>
        <v>-19.074748100261683</v>
      </c>
      <c r="S16" s="3">
        <f t="shared" si="6"/>
        <v>-44.458797267459843</v>
      </c>
      <c r="T16" s="3">
        <f t="shared" si="7"/>
        <v>25.38404916719816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0.33321430000000002</v>
      </c>
      <c r="G17" s="3">
        <f>VLOOKUP($A17,'Summary Data (40)'!$C$2:$L$249,6,1)</f>
        <v>1.8228770000000001</v>
      </c>
      <c r="H17" s="3">
        <f>VLOOKUP($A17,'Summary Data (40)'!$C$2:$L$249,7,1)</f>
        <v>2.5869780000000002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5.0967688242854896</v>
      </c>
      <c r="N17" s="3">
        <f t="shared" si="1"/>
        <v>4.8454251697254076</v>
      </c>
      <c r="O17" s="3">
        <f t="shared" si="2"/>
        <v>8.0641771433916301</v>
      </c>
      <c r="P17" s="3">
        <f t="shared" si="3"/>
        <v>-3.2187519736662225</v>
      </c>
      <c r="Q17" s="5">
        <f t="shared" si="4"/>
        <v>-0.39914202235796625</v>
      </c>
      <c r="R17" s="3">
        <f t="shared" si="5"/>
        <v>174.57078263739461</v>
      </c>
      <c r="S17" s="3">
        <f t="shared" si="6"/>
        <v>137.71684474190167</v>
      </c>
      <c r="T17" s="3">
        <f t="shared" si="7"/>
        <v>36.853937895492948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-3.5035409999999998</v>
      </c>
      <c r="G18" s="3">
        <f>VLOOKUP($A18,'Summary Data (40)'!$C$2:$L$249,6,1)</f>
        <v>1.8137019999999999</v>
      </c>
      <c r="H18" s="3">
        <f>VLOOKUP($A18,'Summary Data (40)'!$C$2:$L$249,7,1)</f>
        <v>3.1975020000000001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8.3701885609993862</v>
      </c>
      <c r="N18" s="3">
        <f t="shared" si="1"/>
        <v>7.0137437860735261</v>
      </c>
      <c r="O18" s="3">
        <f t="shared" si="2"/>
        <v>2.5489458605470614</v>
      </c>
      <c r="P18" s="3">
        <f t="shared" si="3"/>
        <v>4.4647979255264651</v>
      </c>
      <c r="Q18" s="5">
        <f t="shared" si="4"/>
        <v>1.7516252481597308</v>
      </c>
      <c r="R18" s="3">
        <f t="shared" si="5"/>
        <v>-77.654050540796021</v>
      </c>
      <c r="S18" s="3">
        <f t="shared" si="6"/>
        <v>168.64846292836464</v>
      </c>
      <c r="T18" s="3">
        <f t="shared" si="7"/>
        <v>113.69748653083934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5.786816</v>
      </c>
      <c r="G19" s="3">
        <f>VLOOKUP($A19,'Summary Data (40)'!$C$2:$L$249,6,1)</f>
        <v>1.820959</v>
      </c>
      <c r="H19" s="3">
        <f>VLOOKUP($A19,'Summary Data (40)'!$C$2:$L$249,7,1)</f>
        <v>-2.8573710000000001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5.2608223622830108</v>
      </c>
      <c r="N19" s="3">
        <f t="shared" si="1"/>
        <v>9.8750547942528897</v>
      </c>
      <c r="O19" s="3">
        <f t="shared" si="2"/>
        <v>8.0292617967033557</v>
      </c>
      <c r="P19" s="3">
        <f t="shared" si="3"/>
        <v>1.845792997549534</v>
      </c>
      <c r="Q19" s="5">
        <f t="shared" si="4"/>
        <v>0.22988327498642247</v>
      </c>
      <c r="R19" s="3">
        <f t="shared" si="5"/>
        <v>23.666151625811782</v>
      </c>
      <c r="S19" s="3">
        <f t="shared" si="6"/>
        <v>-8.4515748079495356</v>
      </c>
      <c r="T19" s="3">
        <f t="shared" si="7"/>
        <v>32.11772643376132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-0.84253290000000003</v>
      </c>
      <c r="G20" s="3">
        <f>VLOOKUP($A20,'Summary Data (40)'!$C$2:$L$249,6,1)</f>
        <v>1.8273459999999999</v>
      </c>
      <c r="H20" s="3">
        <f>VLOOKUP($A20,'Summary Data (40)'!$C$2:$L$249,7,1)</f>
        <v>-4.0405410000000002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4.369084160904138</v>
      </c>
      <c r="N20" s="3">
        <f t="shared" si="1"/>
        <v>6.8188044172760529</v>
      </c>
      <c r="O20" s="3">
        <f t="shared" si="2"/>
        <v>7.8871175977032326</v>
      </c>
      <c r="P20" s="3">
        <f t="shared" si="3"/>
        <v>-1.0683131804271797</v>
      </c>
      <c r="Q20" s="5">
        <f t="shared" si="4"/>
        <v>-0.1354503932765346</v>
      </c>
      <c r="R20" s="3">
        <f t="shared" si="5"/>
        <v>-63.65586590726528</v>
      </c>
      <c r="S20" s="3">
        <f t="shared" si="6"/>
        <v>-97.233117345483251</v>
      </c>
      <c r="T20" s="3">
        <f t="shared" si="7"/>
        <v>33.577251438217971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-6.4204439999999998</v>
      </c>
      <c r="G21" s="3">
        <f>VLOOKUP($A21,'Summary Data (40)'!$C$2:$L$249,6,1)</f>
        <v>1.816729</v>
      </c>
      <c r="H21" s="3">
        <f>VLOOKUP($A21,'Summary Data (40)'!$C$2:$L$249,7,1)</f>
        <v>-0.34996860000000002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10.343489431836915</v>
      </c>
      <c r="N21" s="3">
        <f t="shared" si="1"/>
        <v>10.030318952781212</v>
      </c>
      <c r="O21" s="3">
        <f t="shared" si="2"/>
        <v>2.5489458605470614</v>
      </c>
      <c r="P21" s="3">
        <f t="shared" si="3"/>
        <v>7.4813730922341506</v>
      </c>
      <c r="Q21" s="5">
        <f t="shared" si="4"/>
        <v>2.9350851299087535</v>
      </c>
      <c r="R21" s="3">
        <f t="shared" si="5"/>
        <v>-77.654050540796021</v>
      </c>
      <c r="S21" s="3">
        <f t="shared" si="6"/>
        <v>-167.52334284279178</v>
      </c>
      <c r="T21" s="3">
        <f t="shared" si="7"/>
        <v>89.869292301995756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5.8587619999999996</v>
      </c>
      <c r="G22" s="3">
        <f>VLOOKUP($A22,'Summary Data (40)'!$C$2:$L$249,6,1)</f>
        <v>1.8193049999999999</v>
      </c>
      <c r="H22" s="3">
        <f>VLOOKUP($A22,'Summary Data (40)'!$C$2:$L$249,7,1)</f>
        <v>2.8263530000000001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10.711383110189505</v>
      </c>
      <c r="N22" s="3">
        <f t="shared" si="1"/>
        <v>10.337496967508768</v>
      </c>
      <c r="O22" s="3">
        <f t="shared" si="2"/>
        <v>1.5015515309172709</v>
      </c>
      <c r="P22" s="3">
        <f t="shared" si="3"/>
        <v>8.8359454365914978</v>
      </c>
      <c r="Q22" s="5">
        <f t="shared" si="4"/>
        <v>5.8845435901848653</v>
      </c>
      <c r="R22" s="3">
        <f t="shared" si="5"/>
        <v>-85.071579131103505</v>
      </c>
      <c r="S22" s="3">
        <f t="shared" si="6"/>
        <v>15.349228401006892</v>
      </c>
      <c r="T22" s="3">
        <f t="shared" si="7"/>
        <v>100.4208075321104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-5.7740859999999996</v>
      </c>
      <c r="G23" s="3">
        <f>VLOOKUP($A23,'Summary Data (40)'!$C$2:$L$249,6,1)</f>
        <v>1.8207599999999999</v>
      </c>
      <c r="H23" s="3">
        <f>VLOOKUP($A23,'Summary Data (40)'!$C$2:$L$249,7,1)</f>
        <v>2.626204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8.3496959897359133</v>
      </c>
      <c r="N23" s="3">
        <f t="shared" si="1"/>
        <v>11.614191391957169</v>
      </c>
      <c r="O23" s="3">
        <f t="shared" si="2"/>
        <v>4.3718971854333439</v>
      </c>
      <c r="P23" s="3">
        <f t="shared" si="3"/>
        <v>7.2422942065238249</v>
      </c>
      <c r="Q23" s="5">
        <f t="shared" si="4"/>
        <v>1.6565563871571161</v>
      </c>
      <c r="R23" s="3">
        <f t="shared" si="5"/>
        <v>177.02371934116897</v>
      </c>
      <c r="S23" s="3">
        <f t="shared" si="6"/>
        <v>143.11968529070288</v>
      </c>
      <c r="T23" s="3">
        <f t="shared" si="7"/>
        <v>33.904034050466095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4.7017759999999997</v>
      </c>
      <c r="G24" s="3">
        <f>VLOOKUP($A24,'Summary Data (40)'!$C$2:$L$249,6,1)</f>
        <v>1.80369</v>
      </c>
      <c r="H24" s="3">
        <f>VLOOKUP($A24,'Summary Data (40)'!$C$2:$L$249,7,1)</f>
        <v>4.1903420000000002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8.7809203093491277</v>
      </c>
      <c r="N24" s="3">
        <f t="shared" si="1"/>
        <v>9.9917039517361612</v>
      </c>
      <c r="O24" s="3">
        <f t="shared" si="2"/>
        <v>8.8659173242253964</v>
      </c>
      <c r="P24" s="3">
        <f t="shared" si="3"/>
        <v>1.1257866275107649</v>
      </c>
      <c r="Q24" s="5">
        <f t="shared" si="4"/>
        <v>0.12697914793708315</v>
      </c>
      <c r="R24" s="3">
        <f t="shared" si="5"/>
        <v>111.35858600069317</v>
      </c>
      <c r="S24" s="3">
        <f t="shared" si="6"/>
        <v>56.245291493811557</v>
      </c>
      <c r="T24" s="3">
        <f t="shared" si="7"/>
        <v>55.113294506881608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-0.89946219999999999</v>
      </c>
      <c r="G25" s="3">
        <f>VLOOKUP($A25,'Summary Data (40)'!$C$2:$L$249,6,1)</f>
        <v>1.8061469999999999</v>
      </c>
      <c r="H25" s="3">
        <f>VLOOKUP($A25,'Summary Data (40)'!$C$2:$L$249,7,1)</f>
        <v>-5.3808429999999996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6.3433174361589248</v>
      </c>
      <c r="N25" s="3">
        <f t="shared" si="1"/>
        <v>6.7358538999207695</v>
      </c>
      <c r="O25" s="3">
        <f t="shared" si="2"/>
        <v>8.0641771433916301</v>
      </c>
      <c r="P25" s="3">
        <f t="shared" si="3"/>
        <v>-1.3283232434708605</v>
      </c>
      <c r="Q25" s="5">
        <f t="shared" si="4"/>
        <v>-0.16471900602523157</v>
      </c>
      <c r="R25" s="3">
        <f t="shared" si="5"/>
        <v>174.57078263739461</v>
      </c>
      <c r="S25" s="3">
        <f t="shared" si="6"/>
        <v>-135.65934268072172</v>
      </c>
      <c r="T25" s="3">
        <f t="shared" si="7"/>
        <v>49.769874681883664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5.3946639999999997</v>
      </c>
      <c r="G26" s="3">
        <f>VLOOKUP($A26,'Summary Data (40)'!$C$2:$L$249,6,1)</f>
        <v>1.817151</v>
      </c>
      <c r="H26" s="3">
        <f>VLOOKUP($A26,'Summary Data (40)'!$C$2:$L$249,7,1)</f>
        <v>-1.752095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6.9975319130334084</v>
      </c>
      <c r="N26" s="3">
        <f t="shared" si="1"/>
        <v>11.156482110142111</v>
      </c>
      <c r="O26" s="3">
        <f t="shared" si="2"/>
        <v>4.3329067610554466</v>
      </c>
      <c r="P26" s="3">
        <f t="shared" si="3"/>
        <v>6.8235753490866644</v>
      </c>
      <c r="Q26" s="5">
        <f t="shared" si="4"/>
        <v>1.5748262599180693</v>
      </c>
      <c r="R26" s="3">
        <f t="shared" si="5"/>
        <v>-19.074748100261683</v>
      </c>
      <c r="S26" s="3">
        <f t="shared" si="6"/>
        <v>-31.879326997656964</v>
      </c>
      <c r="T26" s="3">
        <f t="shared" si="7"/>
        <v>12.804578897395281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2.8688419999999999</v>
      </c>
      <c r="G27" s="3">
        <f>VLOOKUP($A27,'Summary Data (40)'!$C$2:$L$249,6,1)</f>
        <v>1.80924</v>
      </c>
      <c r="H27" s="3">
        <f>VLOOKUP($A27,'Summary Data (40)'!$C$2:$L$249,7,1)</f>
        <v>6.4435510000000003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7.319757896717964</v>
      </c>
      <c r="N27" s="3">
        <f t="shared" si="1"/>
        <v>11.196205752153942</v>
      </c>
      <c r="O27" s="3">
        <f t="shared" si="2"/>
        <v>8.8659173242253964</v>
      </c>
      <c r="P27" s="3">
        <f t="shared" si="3"/>
        <v>2.3302884279285454</v>
      </c>
      <c r="Q27" s="5">
        <f t="shared" si="4"/>
        <v>0.26283669728807668</v>
      </c>
      <c r="R27" s="3">
        <f t="shared" si="5"/>
        <v>111.35858600069317</v>
      </c>
      <c r="S27" s="3">
        <f t="shared" si="6"/>
        <v>70.60055543413894</v>
      </c>
      <c r="T27" s="3">
        <f t="shared" si="7"/>
        <v>40.758030566554226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-3.2195520000000002</v>
      </c>
      <c r="G28" s="3">
        <f>VLOOKUP($A28,'Summary Data (40)'!$C$2:$L$249,6,1)</f>
        <v>1.8191040000000001</v>
      </c>
      <c r="H28" s="3">
        <f>VLOOKUP($A28,'Summary Data (40)'!$C$2:$L$249,7,1)</f>
        <v>2.2363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7.7077023192845227</v>
      </c>
      <c r="N28" s="3">
        <f t="shared" si="1"/>
        <v>6.6058727177189844</v>
      </c>
      <c r="O28" s="3">
        <f t="shared" si="2"/>
        <v>2.5489458605470614</v>
      </c>
      <c r="P28" s="3">
        <f t="shared" si="3"/>
        <v>4.0569268571719235</v>
      </c>
      <c r="Q28" s="5">
        <f t="shared" si="4"/>
        <v>1.5916096610624815</v>
      </c>
      <c r="R28" s="3">
        <f t="shared" si="5"/>
        <v>-77.654050540796021</v>
      </c>
      <c r="S28" s="3">
        <f t="shared" si="6"/>
        <v>176.36077130206087</v>
      </c>
      <c r="T28" s="3">
        <f t="shared" si="7"/>
        <v>105.98517815714311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11.351900000000001</v>
      </c>
      <c r="G29" s="3">
        <f>VLOOKUP($A29,'Summary Data (40)'!$C$2:$L$249,6,1)</f>
        <v>1.8171630000000001</v>
      </c>
      <c r="H29" s="3">
        <f>VLOOKUP($A29,'Summary Data (40)'!$C$2:$L$249,7,1)</f>
        <v>3.5621170000000001E-2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11.650322293550174</v>
      </c>
      <c r="N29" s="3">
        <f t="shared" si="1"/>
        <v>15.967423097987734</v>
      </c>
      <c r="O29" s="3">
        <f t="shared" si="2"/>
        <v>4.3329067610554466</v>
      </c>
      <c r="P29" s="3">
        <f t="shared" si="3"/>
        <v>11.634516336932286</v>
      </c>
      <c r="Q29" s="5">
        <f t="shared" si="4"/>
        <v>2.6851527112247968</v>
      </c>
      <c r="R29" s="3">
        <f t="shared" si="5"/>
        <v>-19.074748100261683</v>
      </c>
      <c r="S29" s="3">
        <f t="shared" si="6"/>
        <v>-14.894915762769795</v>
      </c>
      <c r="T29" s="3">
        <f t="shared" si="7"/>
        <v>4.179832337491888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-7.7707790000000001</v>
      </c>
      <c r="G30" s="3">
        <f>VLOOKUP($A30,'Summary Data (40)'!$C$2:$L$249,6,1)</f>
        <v>1.814173</v>
      </c>
      <c r="H30" s="3">
        <f>VLOOKUP($A30,'Summary Data (40)'!$C$2:$L$249,7,1)</f>
        <v>0.40088649999999998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8.2648944575065961</v>
      </c>
      <c r="N30" s="3">
        <f t="shared" si="1"/>
        <v>12.24358313945404</v>
      </c>
      <c r="O30" s="3">
        <f t="shared" si="2"/>
        <v>4.3718971854333439</v>
      </c>
      <c r="P30" s="3">
        <f t="shared" si="3"/>
        <v>7.8716859540206965</v>
      </c>
      <c r="Q30" s="5">
        <f t="shared" si="4"/>
        <v>1.8005194587485369</v>
      </c>
      <c r="R30" s="3">
        <f t="shared" si="5"/>
        <v>177.02371934116897</v>
      </c>
      <c r="S30" s="3">
        <f t="shared" si="6"/>
        <v>157.19844055326575</v>
      </c>
      <c r="T30" s="3">
        <f t="shared" si="7"/>
        <v>19.825278787903216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3.2835139999999998</v>
      </c>
      <c r="G31" s="3">
        <f>VLOOKUP($A31,'Summary Data (40)'!$C$2:$L$249,6,1)</f>
        <v>1.798735</v>
      </c>
      <c r="H31" s="3">
        <f>VLOOKUP($A31,'Summary Data (40)'!$C$2:$L$249,7,1)</f>
        <v>2.183281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8.1028452874997559</v>
      </c>
      <c r="N31" s="3">
        <f t="shared" si="1"/>
        <v>7.6841313505924012</v>
      </c>
      <c r="O31" s="3">
        <f t="shared" si="2"/>
        <v>1.5015515309172709</v>
      </c>
      <c r="P31" s="3">
        <f t="shared" si="3"/>
        <v>6.18257981967513</v>
      </c>
      <c r="Q31" s="5">
        <f t="shared" si="4"/>
        <v>4.1174609677886336</v>
      </c>
      <c r="R31" s="3">
        <f t="shared" si="5"/>
        <v>-85.071579131103505</v>
      </c>
      <c r="S31" s="3">
        <f t="shared" si="6"/>
        <v>15.808088866299247</v>
      </c>
      <c r="T31" s="3">
        <f t="shared" si="7"/>
        <v>100.87966799740275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-5.8395960000000002</v>
      </c>
      <c r="G32" s="3">
        <f>VLOOKUP($A32,'Summary Data (40)'!$C$2:$L$249,6,1)</f>
        <v>1.803903</v>
      </c>
      <c r="H32" s="3">
        <f>VLOOKUP($A32,'Summary Data (40)'!$C$2:$L$249,7,1)</f>
        <v>-4.1865259999999997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4.6130442174221562</v>
      </c>
      <c r="N32" s="3">
        <f t="shared" si="1"/>
        <v>10.370898931717152</v>
      </c>
      <c r="O32" s="3">
        <f t="shared" si="2"/>
        <v>8.0641771433916301</v>
      </c>
      <c r="P32" s="3">
        <f t="shared" si="3"/>
        <v>2.3067217883255218</v>
      </c>
      <c r="Q32" s="5">
        <f t="shared" si="4"/>
        <v>0.2860455254527508</v>
      </c>
      <c r="R32" s="3">
        <f t="shared" si="5"/>
        <v>174.57078263739461</v>
      </c>
      <c r="S32" s="3">
        <f t="shared" si="6"/>
        <v>-160.19700966823143</v>
      </c>
      <c r="T32" s="3">
        <f t="shared" si="7"/>
        <v>25.232207694373983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-3.1049730000000002</v>
      </c>
      <c r="G33" s="3">
        <f>VLOOKUP($A33,'Summary Data (40)'!$C$2:$L$249,6,1)</f>
        <v>1.7930999999999999</v>
      </c>
      <c r="H33" s="3">
        <f>VLOOKUP($A33,'Summary Data (40)'!$C$2:$L$249,7,1)</f>
        <v>-3.8654160000000002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6.6382472168325428</v>
      </c>
      <c r="N33" s="3">
        <f t="shared" si="1"/>
        <v>7.2911505050838858</v>
      </c>
      <c r="O33" s="3">
        <f t="shared" si="2"/>
        <v>7.8871175977032326</v>
      </c>
      <c r="P33" s="3">
        <f t="shared" si="3"/>
        <v>-0.59596709261934677</v>
      </c>
      <c r="Q33" s="5">
        <f t="shared" si="4"/>
        <v>-7.5562090362757531E-2</v>
      </c>
      <c r="R33" s="3">
        <f t="shared" si="5"/>
        <v>-63.65586590726528</v>
      </c>
      <c r="S33" s="3">
        <f t="shared" si="6"/>
        <v>-115.34383720385206</v>
      </c>
      <c r="T33" s="3">
        <f t="shared" si="7"/>
        <v>51.687971296586781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5.7578659999999999</v>
      </c>
      <c r="G34" s="3">
        <f>VLOOKUP($A34,'Summary Data (40)'!$C$2:$L$249,6,1)</f>
        <v>1.8172619999999999</v>
      </c>
      <c r="H34" s="3">
        <f>VLOOKUP($A34,'Summary Data (40)'!$C$2:$L$249,7,1)</f>
        <v>-2.553245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4.978616996514293</v>
      </c>
      <c r="N34" s="3">
        <f t="shared" si="1"/>
        <v>9.8062063029481994</v>
      </c>
      <c r="O34" s="3">
        <f t="shared" si="2"/>
        <v>8.0292617967033557</v>
      </c>
      <c r="P34" s="3">
        <f t="shared" si="3"/>
        <v>1.7769445062448437</v>
      </c>
      <c r="Q34" s="5">
        <f t="shared" si="4"/>
        <v>0.22130857745532961</v>
      </c>
      <c r="R34" s="3">
        <f t="shared" si="5"/>
        <v>23.666151625811782</v>
      </c>
      <c r="S34" s="3">
        <f t="shared" si="6"/>
        <v>-6.7185181202514483</v>
      </c>
      <c r="T34" s="3">
        <f t="shared" si="7"/>
        <v>30.384669746063231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-5.2020939999999998</v>
      </c>
      <c r="G35" s="3">
        <f>VLOOKUP($A35,'Summary Data (40)'!$C$2:$L$249,6,1)</f>
        <v>1.801636</v>
      </c>
      <c r="H35" s="3">
        <f>VLOOKUP($A35,'Summary Data (40)'!$C$2:$L$249,7,1)</f>
        <v>-7.4791819999999998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7.6475607518973003</v>
      </c>
      <c r="N35" s="3">
        <f t="shared" si="1"/>
        <v>11.379816693864624</v>
      </c>
      <c r="O35" s="3">
        <f t="shared" si="2"/>
        <v>8.0641771433916301</v>
      </c>
      <c r="P35" s="3">
        <f t="shared" si="3"/>
        <v>3.3156395504729943</v>
      </c>
      <c r="Q35" s="5">
        <f t="shared" si="4"/>
        <v>0.41115658690484858</v>
      </c>
      <c r="R35" s="3">
        <f t="shared" si="5"/>
        <v>174.57078263739461</v>
      </c>
      <c r="S35" s="3">
        <f t="shared" si="6"/>
        <v>-143.2666015553622</v>
      </c>
      <c r="T35" s="3">
        <f t="shared" si="7"/>
        <v>42.162615807243185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-7.6835420000000001</v>
      </c>
      <c r="G36" s="3">
        <f>VLOOKUP($A36,'Summary Data (40)'!$C$2:$L$249,6,1)</f>
        <v>1.824862</v>
      </c>
      <c r="H36" s="3">
        <f>VLOOKUP($A36,'Summary Data (40)'!$C$2:$L$249,7,1)</f>
        <v>0.65353930000000005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11.677135063542277</v>
      </c>
      <c r="N36" s="3">
        <f t="shared" si="1"/>
        <v>11.117587948750776</v>
      </c>
      <c r="O36" s="3">
        <f t="shared" si="2"/>
        <v>2.5489458605470614</v>
      </c>
      <c r="P36" s="3">
        <f t="shared" si="3"/>
        <v>8.5686420882037151</v>
      </c>
      <c r="Q36" s="5">
        <f t="shared" si="4"/>
        <v>3.3616414616058932</v>
      </c>
      <c r="R36" s="3">
        <f t="shared" si="5"/>
        <v>-77.654050540796021</v>
      </c>
      <c r="S36" s="3">
        <f t="shared" si="6"/>
        <v>-173.9929715178321</v>
      </c>
      <c r="T36" s="3">
        <f t="shared" si="7"/>
        <v>96.338920977036082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6.9314629999999999</v>
      </c>
      <c r="G37" s="3">
        <f>VLOOKUP($A37,'Summary Data (40)'!$C$2:$L$249,6,1)</f>
        <v>1.829151</v>
      </c>
      <c r="H37" s="3">
        <f>VLOOKUP($A37,'Summary Data (40)'!$C$2:$L$249,7,1)</f>
        <v>-3.2808709999999999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9.1587173900612306</v>
      </c>
      <c r="N37" s="3">
        <f t="shared" si="1"/>
        <v>13.277786783685373</v>
      </c>
      <c r="O37" s="3">
        <f t="shared" si="2"/>
        <v>4.3329067610554466</v>
      </c>
      <c r="P37" s="3">
        <f t="shared" si="3"/>
        <v>8.9448800226299277</v>
      </c>
      <c r="Q37" s="5">
        <f t="shared" si="4"/>
        <v>2.0644063017989005</v>
      </c>
      <c r="R37" s="3">
        <f t="shared" si="5"/>
        <v>-19.074748100261683</v>
      </c>
      <c r="S37" s="3">
        <f t="shared" si="6"/>
        <v>-33.979322210802124</v>
      </c>
      <c r="T37" s="3">
        <f t="shared" si="7"/>
        <v>14.904574110540441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5.4880370000000003</v>
      </c>
      <c r="G38" s="3">
        <f>VLOOKUP($A38,'Summary Data (40)'!$C$2:$L$249,6,1)</f>
        <v>1.8071440000000001</v>
      </c>
      <c r="H38" s="3">
        <f>VLOOKUP($A38,'Summary Data (40)'!$C$2:$L$249,7,1)</f>
        <v>-2.595942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4.8936120204541149</v>
      </c>
      <c r="N38" s="3">
        <f t="shared" si="1"/>
        <v>9.5435121245133328</v>
      </c>
      <c r="O38" s="3">
        <f t="shared" si="2"/>
        <v>8.0292617967033557</v>
      </c>
      <c r="P38" s="3">
        <f t="shared" si="3"/>
        <v>1.514250327809977</v>
      </c>
      <c r="Q38" s="5">
        <f t="shared" si="4"/>
        <v>0.18859147529997042</v>
      </c>
      <c r="R38" s="3">
        <f t="shared" si="5"/>
        <v>23.666151625811782</v>
      </c>
      <c r="S38" s="3">
        <f t="shared" si="6"/>
        <v>-7.162620910835388</v>
      </c>
      <c r="T38" s="3">
        <f t="shared" si="7"/>
        <v>30.828772536647172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-2.2875899999999998</v>
      </c>
      <c r="G39" s="3">
        <f>VLOOKUP($A39,'Summary Data (40)'!$C$2:$L$249,6,1)</f>
        <v>1.8098939999999999</v>
      </c>
      <c r="H39" s="3">
        <f>VLOOKUP($A39,'Summary Data (40)'!$C$2:$L$249,7,1)</f>
        <v>-5.142277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5.5405686362348225</v>
      </c>
      <c r="N39" s="3">
        <f t="shared" si="1"/>
        <v>7.6474691336957346</v>
      </c>
      <c r="O39" s="3">
        <f t="shared" si="2"/>
        <v>8.0641771433916301</v>
      </c>
      <c r="P39" s="3">
        <f t="shared" si="3"/>
        <v>-0.4167080096958955</v>
      </c>
      <c r="Q39" s="5">
        <f t="shared" si="4"/>
        <v>-5.1673965277086724E-2</v>
      </c>
      <c r="R39" s="3">
        <f t="shared" si="5"/>
        <v>174.57078263739461</v>
      </c>
      <c r="S39" s="3">
        <f t="shared" si="6"/>
        <v>-144.23849922538994</v>
      </c>
      <c r="T39" s="3">
        <f t="shared" si="7"/>
        <v>41.190718137215413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-2.1747260000000002</v>
      </c>
      <c r="G40" s="3">
        <f>VLOOKUP($A40,'Summary Data (40)'!$C$2:$L$249,6,1)</f>
        <v>1.8078320000000001</v>
      </c>
      <c r="H40" s="3">
        <f>VLOOKUP($A40,'Summary Data (40)'!$C$2:$L$249,7,1)</f>
        <v>-4.6890720000000004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5.7011785704589188</v>
      </c>
      <c r="N40" s="3">
        <f t="shared" si="1"/>
        <v>7.7300010921254083</v>
      </c>
      <c r="O40" s="3">
        <f t="shared" si="2"/>
        <v>7.8871175977032326</v>
      </c>
      <c r="P40" s="3">
        <f t="shared" si="3"/>
        <v>-0.15711650557782431</v>
      </c>
      <c r="Q40" s="5">
        <f t="shared" si="4"/>
        <v>-1.9920649544210856E-2</v>
      </c>
      <c r="R40" s="3">
        <f t="shared" si="5"/>
        <v>-63.65586590726528</v>
      </c>
      <c r="S40" s="3">
        <f t="shared" si="6"/>
        <v>-106.46357028683882</v>
      </c>
      <c r="T40" s="3">
        <f t="shared" si="7"/>
        <v>42.807704379573536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3.4653930000000002</v>
      </c>
      <c r="G41" s="3">
        <f>VLOOKUP($A41,'Summary Data (40)'!$C$2:$L$249,6,1)</f>
        <v>1.7965180000000001</v>
      </c>
      <c r="H41" s="3">
        <f>VLOOKUP($A41,'Summary Data (40)'!$C$2:$L$249,7,1)</f>
        <v>6.3992110000000002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7.8753984077613497</v>
      </c>
      <c r="N41" s="3">
        <f t="shared" si="1"/>
        <v>11.367203285811774</v>
      </c>
      <c r="O41" s="3">
        <f t="shared" si="2"/>
        <v>8.8659173242253964</v>
      </c>
      <c r="P41" s="3">
        <f t="shared" si="3"/>
        <v>2.5012859615863778</v>
      </c>
      <c r="Q41" s="5">
        <f t="shared" si="4"/>
        <v>0.28212376340932233</v>
      </c>
      <c r="R41" s="3">
        <f t="shared" si="5"/>
        <v>111.35858600069317</v>
      </c>
      <c r="S41" s="3">
        <f t="shared" si="6"/>
        <v>67.688898399487982</v>
      </c>
      <c r="T41" s="3">
        <f t="shared" si="7"/>
        <v>43.669687601205183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1.4933758093619947</v>
      </c>
      <c r="T42" s="3">
        <f>AVERAGE(T2:T41)</f>
        <v>47.7743917463484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sqref="A1:A1048576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2017-09-13T21:23:39Z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